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Excel File\"/>
    </mc:Choice>
  </mc:AlternateContent>
  <bookViews>
    <workbookView xWindow="0" yWindow="0" windowWidth="20490" windowHeight="7365" firstSheet="17" activeTab="24"/>
  </bookViews>
  <sheets>
    <sheet name="Sheet2" sheetId="3" r:id="rId1"/>
    <sheet name="PART 38" sheetId="1" r:id="rId2"/>
    <sheet name="PART 39" sheetId="4" r:id="rId3"/>
    <sheet name="PART 40" sheetId="5" r:id="rId4"/>
    <sheet name="PART 41" sheetId="6" r:id="rId5"/>
    <sheet name="PART 42" sheetId="7" r:id="rId6"/>
    <sheet name="PART 43" sheetId="9" r:id="rId7"/>
    <sheet name="PART 44" sheetId="10" r:id="rId8"/>
    <sheet name="PART 45" sheetId="11" r:id="rId9"/>
    <sheet name="PART 46" sheetId="12" r:id="rId10"/>
    <sheet name="PART 47" sheetId="13" r:id="rId11"/>
    <sheet name="PART 48" sheetId="14" r:id="rId12"/>
    <sheet name="PART 49" sheetId="15" r:id="rId13"/>
    <sheet name="PART50" sheetId="16" r:id="rId14"/>
    <sheet name="PART51" sheetId="17" r:id="rId15"/>
    <sheet name="PART52" sheetId="18" r:id="rId16"/>
    <sheet name="PART53" sheetId="19" r:id="rId17"/>
    <sheet name="PART54" sheetId="20" r:id="rId18"/>
    <sheet name="PART55" sheetId="21" r:id="rId19"/>
    <sheet name="PART 56" sheetId="22" r:id="rId20"/>
    <sheet name="PART57" sheetId="24" r:id="rId21"/>
    <sheet name="PART58" sheetId="25" r:id="rId22"/>
    <sheet name="PART59" sheetId="27" r:id="rId23"/>
    <sheet name="PART 60" sheetId="28" r:id="rId24"/>
    <sheet name="Sheet9" sheetId="29" r:id="rId25"/>
  </sheets>
  <definedNames>
    <definedName name="_xlnm._FilterDatabase" localSheetId="23" hidden="1">'PART 60'!$C$1:$C$8</definedName>
    <definedName name="Data_in_Text_file" localSheetId="17">PART54!$A$207:$F$307</definedName>
    <definedName name="Desg" localSheetId="16">PART53!$C$2:$C$10</definedName>
    <definedName name="Desg" localSheetId="17">PART54!#REF!</definedName>
    <definedName name="Desg" localSheetId="18">PART55!$F$2:$F$10</definedName>
    <definedName name="Desg" localSheetId="20">PART57!$C$2:$C$10</definedName>
    <definedName name="Desg" localSheetId="21">PART58!$C$2:$C$10</definedName>
    <definedName name="Desg" localSheetId="22">PART59!$C$2:$C$22</definedName>
    <definedName name="Desg">PART52!$C$2:$C$10</definedName>
    <definedName name="india_population" localSheetId="17">PART54!#REF!</definedName>
    <definedName name="india_population_1" localSheetId="17">PART54!$A$7:$M$189</definedName>
    <definedName name="_xlnm.Print_Titles" localSheetId="13">PART50!$1:$1</definedName>
    <definedName name="_xlnm.Print_Titles" localSheetId="14">PART51!$1:$1</definedName>
    <definedName name="_xlnm.Print_Titles" localSheetId="15">PART52!$1:$1</definedName>
    <definedName name="_xlnm.Print_Titles" localSheetId="16">PART53!$1:$1</definedName>
    <definedName name="_xlnm.Print_Titles" localSheetId="17">PART54!$1:$1</definedName>
    <definedName name="_xlnm.Print_Titles" localSheetId="18">PART55!$1:$1</definedName>
    <definedName name="_xlnm.Print_Titles" localSheetId="20">PART57!$1:$1</definedName>
    <definedName name="_xlnm.Print_Titles" localSheetId="21">PART58!$1:$1</definedName>
    <definedName name="_xlnm.Print_Titles" localSheetId="22">PART59!$1:$1</definedName>
    <definedName name="SID.accdb" localSheetId="17" hidden="1">PART54!$A$1:$G$4</definedName>
    <definedName name="solver_adj" localSheetId="19" hidden="1">'PART 56'!$C$3:$C$5</definedName>
    <definedName name="solver_cvg" localSheetId="19" hidden="1">0.0001</definedName>
    <definedName name="solver_drv" localSheetId="19" hidden="1">2</definedName>
    <definedName name="solver_eng" localSheetId="19" hidden="1">1</definedName>
    <definedName name="solver_est" localSheetId="19" hidden="1">1</definedName>
    <definedName name="solver_itr" localSheetId="19" hidden="1">2147483647</definedName>
    <definedName name="solver_lhs1" localSheetId="19" hidden="1">'PART 56'!$C$3</definedName>
    <definedName name="solver_lhs2" localSheetId="19" hidden="1">'PART 56'!$C$3</definedName>
    <definedName name="solver_lhs3" localSheetId="19" hidden="1">'PART 56'!$C$4</definedName>
    <definedName name="solver_lhs4" localSheetId="19" hidden="1">'PART 56'!$C$4</definedName>
    <definedName name="solver_lhs5" localSheetId="19" hidden="1">'PART 56'!$C$5</definedName>
    <definedName name="solver_lhs6" localSheetId="19" hidden="1">'PART 56'!$C$5</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6</definedName>
    <definedName name="solver_nwt" localSheetId="19" hidden="1">1</definedName>
    <definedName name="solver_opt" localSheetId="19" hidden="1">'PART 56'!$D$6</definedName>
    <definedName name="solver_pre" localSheetId="19" hidden="1">0.000001</definedName>
    <definedName name="solver_rbv" localSheetId="19" hidden="1">2</definedName>
    <definedName name="solver_rel1" localSheetId="19" hidden="1">1</definedName>
    <definedName name="solver_rel2" localSheetId="19" hidden="1">3</definedName>
    <definedName name="solver_rel3" localSheetId="19" hidden="1">1</definedName>
    <definedName name="solver_rel4" localSheetId="19" hidden="1">3</definedName>
    <definedName name="solver_rel5" localSheetId="19" hidden="1">1</definedName>
    <definedName name="solver_rel6" localSheetId="19" hidden="1">3</definedName>
    <definedName name="solver_rhs1" localSheetId="19" hidden="1">'PART 56'!$F$3</definedName>
    <definedName name="solver_rhs2" localSheetId="19" hidden="1">'PART 56'!$E$3</definedName>
    <definedName name="solver_rhs3" localSheetId="19" hidden="1">'PART 56'!$F$4</definedName>
    <definedName name="solver_rhs4" localSheetId="19" hidden="1">'PART 56'!$E$4</definedName>
    <definedName name="solver_rhs5" localSheetId="19" hidden="1">'PART 56'!$F$5</definedName>
    <definedName name="solver_rhs6" localSheetId="19" hidden="1">'PART 56'!$E$5</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 name="T_Col" localSheetId="16">PART53!$F$2:$F$10</definedName>
    <definedName name="T_Col" localSheetId="17">PART54!$A$2:$A$10</definedName>
    <definedName name="T_Col" localSheetId="18">PART55!$I$2:$I$10</definedName>
    <definedName name="T_Col" localSheetId="20">PART57!$F$2:$F$10</definedName>
    <definedName name="T_Col" localSheetId="21">PART58!$F$2:$F$10</definedName>
    <definedName name="T_Col" localSheetId="22">PART59!$F$2:$F$22</definedName>
    <definedName name="T_Col">PART52!$F$2:$F$10</definedName>
    <definedName name="W_Details" localSheetId="16">PART53!$A$1:$F$101</definedName>
    <definedName name="W_Details" localSheetId="17">PART54!$A$1:$A$101</definedName>
    <definedName name="W_Details" localSheetId="18">PART55!$A$1:$I$101</definedName>
    <definedName name="W_Details" localSheetId="20">PART57!$A$1:$F$101</definedName>
    <definedName name="W_Details" localSheetId="21">PART58!$A$1:$F$101</definedName>
    <definedName name="W_Details" localSheetId="22">PART59!$A$1:$F$113</definedName>
    <definedName name="W_Details">PART52!$A$1:$F$101</definedName>
  </definedNames>
  <calcPr calcId="152511"/>
  <pivotCaches>
    <pivotCache cacheId="12" r:id="rId2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02" i="29" l="1"/>
  <c r="F101" i="29"/>
  <c r="F100" i="29"/>
  <c r="F99" i="29"/>
  <c r="F98" i="29"/>
  <c r="F97" i="29"/>
  <c r="F96" i="29"/>
  <c r="F95" i="29"/>
  <c r="F94" i="29"/>
  <c r="F93" i="29"/>
  <c r="F92" i="29"/>
  <c r="F91" i="29"/>
  <c r="F90" i="29"/>
  <c r="F89" i="29"/>
  <c r="F88" i="29"/>
  <c r="F87" i="29"/>
  <c r="F86" i="29"/>
  <c r="F85" i="29"/>
  <c r="F84" i="29"/>
  <c r="F83" i="29"/>
  <c r="F82" i="29"/>
  <c r="F81" i="29"/>
  <c r="F80" i="29"/>
  <c r="F79" i="29"/>
  <c r="F78" i="29"/>
  <c r="F77" i="29"/>
  <c r="F76" i="29"/>
  <c r="F75" i="29"/>
  <c r="F74" i="29"/>
  <c r="F73" i="29"/>
  <c r="F72" i="29"/>
  <c r="F71" i="29"/>
  <c r="F70" i="29"/>
  <c r="F69" i="29"/>
  <c r="F68" i="29"/>
  <c r="F67" i="29"/>
  <c r="F66" i="29"/>
  <c r="F65" i="29"/>
  <c r="F64" i="29"/>
  <c r="F63" i="29"/>
  <c r="F62" i="29"/>
  <c r="F61" i="29"/>
  <c r="F60" i="29"/>
  <c r="F59" i="29"/>
  <c r="F58" i="29"/>
  <c r="F57" i="29"/>
  <c r="F56" i="29"/>
  <c r="F55" i="29"/>
  <c r="F54" i="29"/>
  <c r="F53" i="29"/>
  <c r="F52" i="29"/>
  <c r="F51" i="29"/>
  <c r="F50" i="29"/>
  <c r="F49" i="29"/>
  <c r="F48" i="29"/>
  <c r="F47" i="29"/>
  <c r="F46" i="29"/>
  <c r="F45" i="29"/>
  <c r="F44" i="29"/>
  <c r="F43" i="29"/>
  <c r="F42" i="29"/>
  <c r="F41" i="29"/>
  <c r="F40" i="29"/>
  <c r="F39" i="29"/>
  <c r="F38" i="29"/>
  <c r="F37" i="29"/>
  <c r="F36" i="29"/>
  <c r="F35" i="29"/>
  <c r="F34" i="29"/>
  <c r="F33" i="29"/>
  <c r="F32" i="29"/>
  <c r="F31" i="29"/>
  <c r="F30" i="29"/>
  <c r="F29" i="29"/>
  <c r="F28" i="29"/>
  <c r="F27" i="29"/>
  <c r="F26" i="29"/>
  <c r="F25" i="29"/>
  <c r="F24" i="29"/>
  <c r="F23" i="29"/>
  <c r="F22" i="29"/>
  <c r="F21" i="29"/>
  <c r="F20" i="29"/>
  <c r="F19" i="29"/>
  <c r="F18" i="29"/>
  <c r="F17" i="29"/>
  <c r="F16" i="29"/>
  <c r="F15" i="29"/>
  <c r="F14" i="29"/>
  <c r="F13" i="29"/>
  <c r="F12" i="29"/>
  <c r="F11" i="29"/>
  <c r="F10" i="29"/>
  <c r="F9" i="29"/>
  <c r="F8" i="29"/>
  <c r="F7" i="29"/>
  <c r="F6" i="29"/>
  <c r="F5" i="29"/>
  <c r="F4" i="29"/>
  <c r="F3" i="29"/>
  <c r="F113" i="27"/>
  <c r="F112" i="27"/>
  <c r="F111" i="27"/>
  <c r="F110" i="27"/>
  <c r="F109" i="27"/>
  <c r="F108" i="27"/>
  <c r="F107" i="27"/>
  <c r="F106" i="27"/>
  <c r="F105" i="27"/>
  <c r="F104" i="27"/>
  <c r="F103" i="27"/>
  <c r="F102" i="27"/>
  <c r="F101" i="27"/>
  <c r="F100" i="27"/>
  <c r="F99" i="27"/>
  <c r="F98" i="27"/>
  <c r="F97" i="27"/>
  <c r="F96" i="27"/>
  <c r="F95" i="27"/>
  <c r="F94" i="27"/>
  <c r="F93" i="27"/>
  <c r="F92" i="27"/>
  <c r="F91" i="27"/>
  <c r="F90" i="27"/>
  <c r="F89" i="27"/>
  <c r="F88" i="27"/>
  <c r="F87" i="27"/>
  <c r="F86" i="27"/>
  <c r="F85" i="27"/>
  <c r="F84" i="27"/>
  <c r="F83" i="27"/>
  <c r="F82" i="27"/>
  <c r="F81" i="27"/>
  <c r="F80" i="27"/>
  <c r="F79" i="27"/>
  <c r="F78" i="27"/>
  <c r="F77" i="27"/>
  <c r="F76" i="27"/>
  <c r="F75" i="27"/>
  <c r="F74" i="27"/>
  <c r="F73" i="27"/>
  <c r="F72" i="27"/>
  <c r="F71" i="27"/>
  <c r="F70" i="27"/>
  <c r="F69" i="27"/>
  <c r="F68" i="27"/>
  <c r="F67" i="27"/>
  <c r="F66" i="27"/>
  <c r="F65" i="27"/>
  <c r="F64" i="27"/>
  <c r="F63" i="27"/>
  <c r="F62" i="27"/>
  <c r="F61" i="27"/>
  <c r="F60" i="27"/>
  <c r="F59" i="27"/>
  <c r="F58" i="27"/>
  <c r="F57" i="27"/>
  <c r="F56" i="27"/>
  <c r="F55" i="27"/>
  <c r="F54" i="27"/>
  <c r="F53" i="27"/>
  <c r="F52" i="27"/>
  <c r="F51" i="27"/>
  <c r="F50" i="27"/>
  <c r="F49" i="27"/>
  <c r="F48" i="27"/>
  <c r="F47" i="27"/>
  <c r="F46" i="27"/>
  <c r="F45" i="27"/>
  <c r="F44" i="27"/>
  <c r="F43" i="27"/>
  <c r="F42" i="27"/>
  <c r="F41" i="27"/>
  <c r="F40" i="27"/>
  <c r="F39" i="27"/>
  <c r="F38" i="27"/>
  <c r="F37" i="27"/>
  <c r="F36" i="27"/>
  <c r="F35" i="27"/>
  <c r="F34" i="27"/>
  <c r="F33" i="27"/>
  <c r="F32" i="27"/>
  <c r="F31" i="27"/>
  <c r="F30" i="27"/>
  <c r="F29" i="27"/>
  <c r="F28" i="27"/>
  <c r="F27" i="27"/>
  <c r="F26" i="27"/>
  <c r="F25" i="27"/>
  <c r="F24" i="27"/>
  <c r="F23" i="27"/>
  <c r="F22" i="27"/>
  <c r="F21" i="27"/>
  <c r="F20" i="27"/>
  <c r="F19" i="27"/>
  <c r="F18" i="27"/>
  <c r="F14" i="27"/>
  <c r="F10" i="27"/>
  <c r="F6" i="27"/>
  <c r="F2" i="27"/>
  <c r="F101" i="25" l="1"/>
  <c r="F100" i="25"/>
  <c r="F99" i="25"/>
  <c r="F98" i="25"/>
  <c r="F97" i="25"/>
  <c r="F96" i="25"/>
  <c r="F95" i="25"/>
  <c r="F94" i="25"/>
  <c r="F93" i="25"/>
  <c r="F92" i="25"/>
  <c r="F91" i="25"/>
  <c r="F90" i="25"/>
  <c r="F89" i="25"/>
  <c r="F88" i="25"/>
  <c r="F87" i="25"/>
  <c r="F86" i="25"/>
  <c r="F85" i="25"/>
  <c r="F84" i="25"/>
  <c r="F83" i="25"/>
  <c r="F82" i="25"/>
  <c r="F81" i="25"/>
  <c r="F80" i="25"/>
  <c r="F79" i="25"/>
  <c r="F78" i="25"/>
  <c r="F77" i="25"/>
  <c r="F76" i="25"/>
  <c r="F75" i="25"/>
  <c r="F74" i="25"/>
  <c r="F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43" i="25"/>
  <c r="F42" i="25"/>
  <c r="F41" i="25"/>
  <c r="F40" i="25"/>
  <c r="F39" i="25"/>
  <c r="F38" i="25"/>
  <c r="F37" i="25"/>
  <c r="F36" i="25"/>
  <c r="F35" i="25"/>
  <c r="F34" i="25"/>
  <c r="F33" i="25"/>
  <c r="F32" i="25"/>
  <c r="F31" i="25"/>
  <c r="F30" i="25"/>
  <c r="F29" i="25"/>
  <c r="F28" i="25"/>
  <c r="F27" i="25"/>
  <c r="F26" i="25"/>
  <c r="F25" i="25"/>
  <c r="F24" i="25"/>
  <c r="F23" i="25"/>
  <c r="F22" i="25"/>
  <c r="F21" i="25"/>
  <c r="F20" i="25"/>
  <c r="F19" i="25"/>
  <c r="F18" i="25"/>
  <c r="F17" i="25"/>
  <c r="F16" i="25"/>
  <c r="F15" i="25"/>
  <c r="F14" i="25"/>
  <c r="F13" i="25"/>
  <c r="F12" i="25"/>
  <c r="F11" i="25"/>
  <c r="F10" i="25"/>
  <c r="F9" i="25"/>
  <c r="F8" i="25"/>
  <c r="F7" i="25"/>
  <c r="F6" i="25"/>
  <c r="F5" i="25"/>
  <c r="F4" i="25"/>
  <c r="F3" i="25"/>
  <c r="F2" i="25"/>
  <c r="F101" i="24"/>
  <c r="F100" i="24"/>
  <c r="F99" i="24"/>
  <c r="F98" i="24"/>
  <c r="F97" i="24"/>
  <c r="F96" i="24"/>
  <c r="F95" i="24"/>
  <c r="F94" i="24"/>
  <c r="F93" i="24"/>
  <c r="F92" i="24"/>
  <c r="F91" i="24"/>
  <c r="F90" i="24"/>
  <c r="F89" i="24"/>
  <c r="F88" i="24"/>
  <c r="F87" i="24"/>
  <c r="F86" i="24"/>
  <c r="F85" i="24"/>
  <c r="F84" i="24"/>
  <c r="F83" i="24"/>
  <c r="F82" i="24"/>
  <c r="F81" i="24"/>
  <c r="F80" i="24"/>
  <c r="F79" i="24"/>
  <c r="F78" i="24"/>
  <c r="F77" i="24"/>
  <c r="F76" i="24"/>
  <c r="F75" i="24"/>
  <c r="F74" i="24"/>
  <c r="F73" i="24"/>
  <c r="F72" i="24"/>
  <c r="F71" i="24"/>
  <c r="F70" i="24"/>
  <c r="F69" i="24"/>
  <c r="F68" i="24"/>
  <c r="F67" i="24"/>
  <c r="F66" i="24"/>
  <c r="F65" i="24"/>
  <c r="F64" i="24"/>
  <c r="F63" i="24"/>
  <c r="F62" i="24"/>
  <c r="F61" i="24"/>
  <c r="F60" i="24"/>
  <c r="F59" i="24"/>
  <c r="F58" i="24"/>
  <c r="F57" i="24"/>
  <c r="F56" i="24"/>
  <c r="F55" i="24"/>
  <c r="F54" i="24"/>
  <c r="F53" i="24"/>
  <c r="F52" i="24"/>
  <c r="F51" i="24"/>
  <c r="F50" i="24"/>
  <c r="F49" i="24"/>
  <c r="F48" i="24"/>
  <c r="F47" i="24"/>
  <c r="F46" i="24"/>
  <c r="F45" i="24"/>
  <c r="F44" i="24"/>
  <c r="F43" i="24"/>
  <c r="F42" i="24"/>
  <c r="F41" i="24"/>
  <c r="F40" i="24"/>
  <c r="F39" i="24"/>
  <c r="F38" i="24"/>
  <c r="F37" i="24"/>
  <c r="F36" i="24"/>
  <c r="F35" i="24"/>
  <c r="F34" i="24"/>
  <c r="F33" i="24"/>
  <c r="F32" i="24"/>
  <c r="F31" i="24"/>
  <c r="F30" i="24"/>
  <c r="F29" i="24"/>
  <c r="F28" i="24"/>
  <c r="F27" i="24"/>
  <c r="F26" i="24"/>
  <c r="F25" i="24"/>
  <c r="F24" i="24"/>
  <c r="F23" i="24"/>
  <c r="F22" i="24"/>
  <c r="F21" i="24"/>
  <c r="F20" i="24"/>
  <c r="F19" i="24"/>
  <c r="F18" i="24"/>
  <c r="F17" i="24"/>
  <c r="F16" i="24"/>
  <c r="F15" i="24"/>
  <c r="F14" i="24"/>
  <c r="F13" i="24"/>
  <c r="F12" i="24"/>
  <c r="F11" i="24"/>
  <c r="F10" i="24"/>
  <c r="F9" i="24"/>
  <c r="F8" i="24"/>
  <c r="F7" i="24"/>
  <c r="F6" i="24"/>
  <c r="F5" i="24"/>
  <c r="F4" i="24"/>
  <c r="F3" i="24"/>
  <c r="F2" i="24"/>
  <c r="D4" i="22"/>
  <c r="D5" i="22"/>
  <c r="D3" i="22"/>
  <c r="D6" i="22" l="1"/>
  <c r="I12" i="21"/>
  <c r="I5" i="21"/>
  <c r="I9" i="21"/>
  <c r="I2" i="21"/>
  <c r="I11" i="21"/>
  <c r="I7" i="21"/>
  <c r="I10" i="21"/>
  <c r="I3" i="21"/>
  <c r="I4" i="21" l="1"/>
  <c r="I8" i="21"/>
  <c r="I6" i="21"/>
  <c r="J10" i="19" l="1"/>
  <c r="F5" i="19"/>
  <c r="J4" i="19"/>
  <c r="J5" i="19"/>
  <c r="J6" i="19"/>
  <c r="J7" i="19"/>
  <c r="J3" i="19"/>
  <c r="F4" i="19"/>
  <c r="F3" i="19"/>
  <c r="F2" i="19"/>
  <c r="F101" i="19"/>
  <c r="F100" i="19"/>
  <c r="F99" i="19"/>
  <c r="F98" i="19"/>
  <c r="F97" i="19"/>
  <c r="F96" i="19"/>
  <c r="F95" i="19"/>
  <c r="F94" i="19"/>
  <c r="F93" i="19"/>
  <c r="F92" i="19"/>
  <c r="F91" i="19"/>
  <c r="F90" i="19"/>
  <c r="F89" i="19"/>
  <c r="F88" i="19"/>
  <c r="F87" i="19"/>
  <c r="F86" i="19"/>
  <c r="F85" i="19"/>
  <c r="F84" i="19"/>
  <c r="F83" i="19"/>
  <c r="F82" i="19"/>
  <c r="F81" i="19"/>
  <c r="F80" i="19"/>
  <c r="F79" i="19"/>
  <c r="F78" i="19"/>
  <c r="F77" i="19"/>
  <c r="F76" i="19"/>
  <c r="F75" i="19"/>
  <c r="F74" i="19"/>
  <c r="F73" i="19"/>
  <c r="F72" i="19"/>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F8" i="19"/>
  <c r="F7" i="19"/>
  <c r="F6" i="19"/>
  <c r="F3" i="18"/>
  <c r="F4" i="18"/>
  <c r="F5" i="18"/>
  <c r="F6" i="18"/>
  <c r="F7" i="18"/>
  <c r="F8" i="18"/>
  <c r="F9" i="18"/>
  <c r="F10" i="18"/>
  <c r="F11" i="18"/>
  <c r="F12" i="18"/>
  <c r="F13" i="18"/>
  <c r="F14" i="18"/>
  <c r="F15" i="18"/>
  <c r="F16" i="18"/>
  <c r="F17" i="18"/>
  <c r="F18" i="18"/>
  <c r="F19" i="18"/>
  <c r="F20" i="18"/>
  <c r="F21" i="18"/>
  <c r="F22" i="18"/>
  <c r="F23" i="18"/>
  <c r="F24" i="18"/>
  <c r="F25" i="18"/>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2" i="18"/>
  <c r="D11" i="9" l="1"/>
  <c r="D2" i="12"/>
  <c r="G6" i="6" l="1"/>
  <c r="G5" i="6"/>
  <c r="G4" i="6"/>
  <c r="G3" i="6"/>
  <c r="G2" i="6"/>
  <c r="G6" i="5" l="1"/>
  <c r="G5" i="5"/>
  <c r="G4" i="5"/>
  <c r="G3" i="5"/>
  <c r="G2" i="5"/>
  <c r="G2" i="4"/>
  <c r="G3" i="4"/>
  <c r="G4" i="4"/>
  <c r="G5" i="4"/>
  <c r="G6" i="4"/>
</calcChain>
</file>

<file path=xl/comments1.xml><?xml version="1.0" encoding="utf-8"?>
<comments xmlns="http://schemas.openxmlformats.org/spreadsheetml/2006/main">
  <authors>
    <author>Asif Sir</author>
  </authors>
  <commentList>
    <comment ref="B2" authorId="0" shapeId="0">
      <text>
        <r>
          <rPr>
            <sz val="9"/>
            <color indexed="81"/>
            <rFont val="Tahoma"/>
            <family val="2"/>
          </rPr>
          <t xml:space="preserve">
</t>
        </r>
      </text>
    </comment>
    <comment ref="G2" authorId="0" shapeId="0">
      <text>
        <r>
          <rPr>
            <sz val="9"/>
            <color indexed="81"/>
            <rFont val="Tahoma"/>
            <family val="2"/>
          </rPr>
          <t xml:space="preserve">
</t>
        </r>
      </text>
    </comment>
    <comment ref="B3" authorId="0" shapeId="0">
      <text>
        <r>
          <rPr>
            <sz val="9"/>
            <color indexed="81"/>
            <rFont val="Tahoma"/>
            <family val="2"/>
          </rPr>
          <t xml:space="preserve">
</t>
        </r>
      </text>
    </comment>
    <comment ref="G3" authorId="0" shapeId="0">
      <text>
        <r>
          <rPr>
            <sz val="9"/>
            <color indexed="81"/>
            <rFont val="Tahoma"/>
            <family val="2"/>
          </rPr>
          <t xml:space="preserve">
</t>
        </r>
      </text>
    </comment>
    <comment ref="G4" authorId="0" shapeId="0">
      <text>
        <r>
          <rPr>
            <sz val="9"/>
            <color indexed="81"/>
            <rFont val="Tahoma"/>
            <family val="2"/>
          </rPr>
          <t xml:space="preserve">
</t>
        </r>
      </text>
    </comment>
    <comment ref="G5" authorId="0" shapeId="0">
      <text>
        <r>
          <rPr>
            <sz val="9"/>
            <color indexed="81"/>
            <rFont val="Tahoma"/>
            <family val="2"/>
          </rPr>
          <t xml:space="preserve">
</t>
        </r>
      </text>
    </comment>
    <comment ref="G6" authorId="0" shapeId="0">
      <text>
        <r>
          <rPr>
            <sz val="9"/>
            <color indexed="81"/>
            <rFont val="Tahoma"/>
            <family val="2"/>
          </rPr>
          <t xml:space="preserve">
</t>
        </r>
      </text>
    </comment>
    <comment ref="G7" authorId="0" shapeId="0">
      <text>
        <r>
          <rPr>
            <sz val="9"/>
            <color indexed="81"/>
            <rFont val="Tahoma"/>
            <family val="2"/>
          </rPr>
          <t xml:space="preserve">
</t>
        </r>
      </text>
    </comment>
    <comment ref="G8" authorId="0" shapeId="0">
      <text>
        <r>
          <rPr>
            <sz val="9"/>
            <color indexed="81"/>
            <rFont val="Tahoma"/>
            <family val="2"/>
          </rPr>
          <t xml:space="preserve">
</t>
        </r>
      </text>
    </comment>
    <comment ref="G9" authorId="0" shapeId="0">
      <text>
        <r>
          <rPr>
            <sz val="9"/>
            <color indexed="81"/>
            <rFont val="Tahoma"/>
            <family val="2"/>
          </rPr>
          <t xml:space="preserve">
</t>
        </r>
      </text>
    </comment>
  </commentList>
</comments>
</file>

<file path=xl/connections.xml><?xml version="1.0" encoding="utf-8"?>
<connections xmlns="http://schemas.openxmlformats.org/spreadsheetml/2006/main">
  <connection id="1" name="Connection1" type="4" refreshedVersion="5" background="1" saveData="1">
    <webPr sourceData="1" parsePre="1" consecutive="1" xl2000="1" url="https://www.worldometers.info/world-population/india-population"/>
  </connection>
  <connection id="2" name="Data in Text file" type="6" refreshedVersion="5" background="1" saveData="1">
    <textPr codePage="437" sourceFile="D:\Data in Text file.txt">
      <textFields count="6">
        <textField/>
        <textField/>
        <textField/>
        <textField/>
        <textField/>
        <textField/>
      </textFields>
    </textPr>
  </connection>
  <connection id="3" sourceFile="C:\Users\Administrator\Documents\SID.accdb" keepAlive="1" name="SID" type="5" refreshedVersion="5" background="1" saveData="1">
    <dbPr connection="Provider=Microsoft.ACE.OLEDB.12.0;User ID=Admin;Data Source=C:\Users\Administrator\Documents\SID.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TUDENT REPORT" commandType="3"/>
  </connection>
</connections>
</file>

<file path=xl/sharedStrings.xml><?xml version="1.0" encoding="utf-8"?>
<sst xmlns="http://schemas.openxmlformats.org/spreadsheetml/2006/main" count="3824" uniqueCount="284">
  <si>
    <t xml:space="preserve">DATE </t>
  </si>
  <si>
    <t>SR NO</t>
  </si>
  <si>
    <t>NAME OF EMP</t>
  </si>
  <si>
    <t>DEPT</t>
  </si>
  <si>
    <t>WAGES</t>
  </si>
  <si>
    <t>A</t>
  </si>
  <si>
    <t>Production</t>
  </si>
  <si>
    <t>B</t>
  </si>
  <si>
    <t>Packing</t>
  </si>
  <si>
    <t>C</t>
  </si>
  <si>
    <t>Forwarding</t>
  </si>
  <si>
    <t>D</t>
  </si>
  <si>
    <t>E</t>
  </si>
  <si>
    <t>Row Labels</t>
  </si>
  <si>
    <t>Grand Total</t>
  </si>
  <si>
    <t>Sum of WAGES</t>
  </si>
  <si>
    <t>Column Labels</t>
  </si>
  <si>
    <t>DAYS</t>
  </si>
  <si>
    <t>TOTAL</t>
  </si>
  <si>
    <t>WWW.GOOGLE.COM</t>
  </si>
  <si>
    <t>NAME</t>
  </si>
  <si>
    <t>SUB1</t>
  </si>
  <si>
    <t>SUB2</t>
  </si>
  <si>
    <t>SUB3</t>
  </si>
  <si>
    <t>SALES DATA</t>
  </si>
  <si>
    <t>SALESMAN</t>
  </si>
  <si>
    <t>SALES</t>
  </si>
  <si>
    <t>AJAY</t>
  </si>
  <si>
    <t>ANIL</t>
  </si>
  <si>
    <t>SURAJ</t>
  </si>
  <si>
    <t>SURESH</t>
  </si>
  <si>
    <t>Day1</t>
  </si>
  <si>
    <t>Day2</t>
  </si>
  <si>
    <t>Day3</t>
  </si>
  <si>
    <t>Day4</t>
  </si>
  <si>
    <t>Day5</t>
  </si>
  <si>
    <t>Day6</t>
  </si>
  <si>
    <t>Day7</t>
  </si>
  <si>
    <t>Day8</t>
  </si>
  <si>
    <t>Day9</t>
  </si>
  <si>
    <t>Column</t>
  </si>
  <si>
    <t>Day10</t>
  </si>
  <si>
    <t>Line</t>
  </si>
  <si>
    <t>Win/Loss</t>
  </si>
  <si>
    <t>CLICK TO JUMP ON THAT SHEET</t>
  </si>
  <si>
    <r>
      <rPr>
        <sz val="20"/>
        <color theme="1"/>
        <rFont val="Symbol"/>
        <family val="1"/>
        <charset val="2"/>
      </rPr>
      <t>©</t>
    </r>
    <r>
      <rPr>
        <sz val="20"/>
        <color theme="1"/>
        <rFont val="Wingdings"/>
        <charset val="2"/>
      </rPr>
      <t>£¥ç«</t>
    </r>
  </si>
  <si>
    <t>Gender</t>
  </si>
  <si>
    <t>Age</t>
  </si>
  <si>
    <t>Date</t>
  </si>
  <si>
    <t>Id</t>
  </si>
  <si>
    <t>Female</t>
  </si>
  <si>
    <t>15/10/2017</t>
  </si>
  <si>
    <t>16/08/2016</t>
  </si>
  <si>
    <t>Male</t>
  </si>
  <si>
    <t>21/05/2015</t>
  </si>
  <si>
    <t>Sr No.</t>
  </si>
  <si>
    <t>Sanjay Mishra</t>
  </si>
  <si>
    <t>Aruj Prajapati</t>
  </si>
  <si>
    <t>Ravi Varma</t>
  </si>
  <si>
    <t>Vikash Pancholi</t>
  </si>
  <si>
    <t>Anvi Singh</t>
  </si>
  <si>
    <t>Virat Singh</t>
  </si>
  <si>
    <t>Rajesh Singh</t>
  </si>
  <si>
    <t>Suraj Verma</t>
  </si>
  <si>
    <t>Vikas Malhotra</t>
  </si>
  <si>
    <t>Vinod kale</t>
  </si>
  <si>
    <t>Shankar Jadhav</t>
  </si>
  <si>
    <t>Ramesh Dhawale</t>
  </si>
  <si>
    <t>Vinod Dhawale</t>
  </si>
  <si>
    <t>Anvi Dhawale</t>
  </si>
  <si>
    <t>Kiran Bhor</t>
  </si>
  <si>
    <t>Rahul Bhor</t>
  </si>
  <si>
    <t>Priya Dhawale</t>
  </si>
  <si>
    <t>Full Name</t>
  </si>
  <si>
    <t>City</t>
  </si>
  <si>
    <t>Mumbai</t>
  </si>
  <si>
    <t>Delhi</t>
  </si>
  <si>
    <t>Pune</t>
  </si>
  <si>
    <t>Nagpur</t>
  </si>
  <si>
    <t>Contact No</t>
  </si>
  <si>
    <t>Alt. Contact</t>
  </si>
  <si>
    <t>Desg</t>
  </si>
  <si>
    <t>Labour</t>
  </si>
  <si>
    <t>Driver</t>
  </si>
  <si>
    <t>Days</t>
  </si>
  <si>
    <t>Wages</t>
  </si>
  <si>
    <t>Total</t>
  </si>
  <si>
    <t>Coronavirus</t>
  </si>
  <si>
    <t>Population</t>
  </si>
  <si>
    <t>W</t>
  </si>
  <si>
    <t>World</t>
  </si>
  <si>
    <t>Asia</t>
  </si>
  <si>
    <t>Southern Asia</t>
  </si>
  <si>
    <t>India</t>
  </si>
  <si>
    <t>India Population (LIVE)</t>
  </si>
  <si>
    <t xml:space="preserve">retrieving data... </t>
  </si>
  <si>
    <t>India Population (1950 - 2020)</t>
  </si>
  <si>
    <t>Yearly Population Growth Rate (%)</t>
  </si>
  <si>
    <t>CountryContinentWorld</t>
  </si>
  <si>
    <t>The current population of India is 1,377,492,805 as of Saturday, April 25, 2020, based on Worldometer elaboration of the latest United Nations data.</t>
  </si>
  <si>
    <t>India 2020 population is estimated at 1,380,004,385 people at mid year according to UN data.</t>
  </si>
  <si>
    <t>India population is equivalent to 17.7% of the total world population.</t>
  </si>
  <si>
    <t>India ranks number 2 in the list of countries (and dependencies) by population.</t>
  </si>
  <si>
    <t>The population density in India is 464 per Km2 (1,202 people per mi2).</t>
  </si>
  <si>
    <t>The total land area is 2,973,190 Km2 (1,147,955 sq. miles)</t>
  </si>
  <si>
    <t>35.0 % of the population is urban (483,098,640 people in 2020)</t>
  </si>
  <si>
    <t>The median age in India is 28.4 years.</t>
  </si>
  <si>
    <t>Population of India (2020 and historical)</t>
  </si>
  <si>
    <t>Year</t>
  </si>
  <si>
    <t>Yearly %</t>
  </si>
  <si>
    <t>Change</t>
  </si>
  <si>
    <t>Yearly</t>
  </si>
  <si>
    <t>Migrants (net)</t>
  </si>
  <si>
    <t>Median Age</t>
  </si>
  <si>
    <t>Fertility Rate</t>
  </si>
  <si>
    <t>Density (P/Km²)</t>
  </si>
  <si>
    <t>Urban</t>
  </si>
  <si>
    <t>Pop %</t>
  </si>
  <si>
    <t>Urban Population</t>
  </si>
  <si>
    <t>Country's Share of</t>
  </si>
  <si>
    <t>World Pop</t>
  </si>
  <si>
    <t>World Population</t>
  </si>
  <si>
    <t>Global Rank</t>
  </si>
  <si>
    <t>Source: Worldometer (www.Worldometers.info)</t>
  </si>
  <si>
    <t>Elaboration of data by United Nations, Department of Economic and Social Affairs, Population Division. World Population Prospects: The 2019 Revision. (Medium-fertility variant).</t>
  </si>
  <si>
    <t>back to top ↑</t>
  </si>
  <si>
    <t>India Population Forecast</t>
  </si>
  <si>
    <t>India Demographics</t>
  </si>
  <si>
    <t>Main Page: Demographics of India</t>
  </si>
  <si>
    <t>Life Expectancy</t>
  </si>
  <si>
    <t>70.42 years</t>
  </si>
  <si>
    <t>(life expectancy at birth, both sexes)</t>
  </si>
  <si>
    <t>View by sex and historical chart</t>
  </si>
  <si>
    <t>Infant Mortality</t>
  </si>
  <si>
    <t>(infant deaths per 1,000 live births)</t>
  </si>
  <si>
    <t>View historical chart</t>
  </si>
  <si>
    <t>Deaths under age 5</t>
  </si>
  <si>
    <t>(per 1,000 live births)</t>
  </si>
  <si>
    <t>Main Cities by Population in India</t>
  </si>
  <si>
    <t>(includes boroughs, districts, urban agglomerations, etc.)</t>
  </si>
  <si>
    <t>#</t>
  </si>
  <si>
    <t>CITY NAME</t>
  </si>
  <si>
    <t>POPULATION</t>
  </si>
  <si>
    <t>Bengaluru</t>
  </si>
  <si>
    <t>Kolkata</t>
  </si>
  <si>
    <t>Chennai</t>
  </si>
  <si>
    <t>Ahmedabad</t>
  </si>
  <si>
    <t>Hyderabad</t>
  </si>
  <si>
    <t>Surat</t>
  </si>
  <si>
    <t>Kanpur</t>
  </si>
  <si>
    <t>Jaipur</t>
  </si>
  <si>
    <t>Navi Mumbai</t>
  </si>
  <si>
    <t>Lucknow</t>
  </si>
  <si>
    <t>Indore</t>
  </si>
  <si>
    <t>Patna</t>
  </si>
  <si>
    <t>Bhopal</t>
  </si>
  <si>
    <t>Ludhiana</t>
  </si>
  <si>
    <t>Tirunelveli</t>
  </si>
  <si>
    <t>Agra</t>
  </si>
  <si>
    <t>Vadodara</t>
  </si>
  <si>
    <t>Gorakhpur</t>
  </si>
  <si>
    <t>Nashik</t>
  </si>
  <si>
    <t>Pimpri</t>
  </si>
  <si>
    <t>Kalyan</t>
  </si>
  <si>
    <t>Thane</t>
  </si>
  <si>
    <t>Meerut</t>
  </si>
  <si>
    <t>Nowrangapur</t>
  </si>
  <si>
    <t>Faridabad</t>
  </si>
  <si>
    <t>Ghaziabad</t>
  </si>
  <si>
    <t>Dombivli</t>
  </si>
  <si>
    <t>Rajkot</t>
  </si>
  <si>
    <t>Varanasi</t>
  </si>
  <si>
    <t>Amritsar</t>
  </si>
  <si>
    <t>Allahabad</t>
  </si>
  <si>
    <t>Visakhapatnam</t>
  </si>
  <si>
    <t>Teni</t>
  </si>
  <si>
    <t>Jabalpur</t>
  </si>
  <si>
    <t>Haora</t>
  </si>
  <si>
    <t>Aurangabad</t>
  </si>
  <si>
    <t>Shivaji Nagar</t>
  </si>
  <si>
    <t>Solapur</t>
  </si>
  <si>
    <t>Srinagar</t>
  </si>
  <si>
    <t>Chandigarh</t>
  </si>
  <si>
    <t>Coimbatore</t>
  </si>
  <si>
    <t>Jodhpur</t>
  </si>
  <si>
    <t>Madurai</t>
  </si>
  <si>
    <t>Guwahati</t>
  </si>
  <si>
    <t>Gwalior</t>
  </si>
  <si>
    <t>Vijayawada</t>
  </si>
  <si>
    <t>Mysore</t>
  </si>
  <si>
    <t>Ranchi</t>
  </si>
  <si>
    <t>Hubli</t>
  </si>
  <si>
    <t>Jalandhar</t>
  </si>
  <si>
    <t>Thiruvananthapuram</t>
  </si>
  <si>
    <t>Salem</t>
  </si>
  <si>
    <t>Tiruchirappalli</t>
  </si>
  <si>
    <t>Kota</t>
  </si>
  <si>
    <t>Bhubaneshwar</t>
  </si>
  <si>
    <t>Aligarh</t>
  </si>
  <si>
    <t>Bareilly</t>
  </si>
  <si>
    <t>Moradabad</t>
  </si>
  <si>
    <t>Bhiwandi</t>
  </si>
  <si>
    <t>Raipur</t>
  </si>
  <si>
    <t>Bhilai</t>
  </si>
  <si>
    <t>Jamshedpur</t>
  </si>
  <si>
    <t>Borivli</t>
  </si>
  <si>
    <t>Cochin</t>
  </si>
  <si>
    <t>Amravati</t>
  </si>
  <si>
    <t>See also</t>
  </si>
  <si>
    <t>Demographics of India</t>
  </si>
  <si>
    <t>Median Age (Historical Chart)</t>
  </si>
  <si>
    <t>Total Fertility Rate (Historical Chart)</t>
  </si>
  <si>
    <t>Urban vs. Rural Population (Historical Chart)</t>
  </si>
  <si>
    <t>Gross Domestic Product (GDP) of India</t>
  </si>
  <si>
    <t>Asia Population</t>
  </si>
  <si>
    <t>World Map</t>
  </si>
  <si>
    <t>World Population by Country</t>
  </si>
  <si>
    <t>Notes</t>
  </si>
  <si>
    <t>The India Population (Live) counter shows a continuously updated estimate of the current population of India delivered by Worldometer's RTS algorithm, which processes data collected from the United Nations Population Division.</t>
  </si>
  <si>
    <t>The Population of India (1950 - 2019) chart plots the total population count as of July 1 of each year, from 1950 to 2019.</t>
  </si>
  <si>
    <t>The Yearly Population Growth Rate chart plots the annual percentage changes in population registered on July 1 of each year, from 1951 to 2019. This value can differ from the Yearly % Change shown in the historical table, which shows the last year equivalent percentage change assuming homogeneous change in the preceding five year period.</t>
  </si>
  <si>
    <t>Definitions</t>
  </si>
  <si>
    <t>Year: as of July 1 of the year indicated.</t>
  </si>
  <si>
    <t>Population: Overall total population (both sexes and all ages) in the country as of July 1 of the year indicated, as estimated by the United Nations, Department of Economic and Social Affairs, Population Division. World Population Prospects: The 2019 Revision. For forecasted years, the U.N. medium-fertility variant is used.</t>
  </si>
  <si>
    <t>Read More Definitions...</t>
  </si>
  <si>
    <t>Yearly % Change: For 2019: percentage change in total population over the last year (from July 1, 2018 to June 30 2019). For all other years: latest year annual percentage change equivalent assuming homogeneous change in the preceding five year period, calculated through reverse compounding.</t>
  </si>
  <si>
    <t>Yearly Change: For 2019: absolute change in total population (increase or decrease in number of people) over the last year (from July 1, 2018 to June 30 2019). For all other years: average annual numerical change over the preceding five year period.</t>
  </si>
  <si>
    <t>Migrants (net): The average annual number of immigrants minus the number of emigrants over the preceding five year period (running from July 1 to June 30 of the initial and final years), or subsequent five year period (for 2016 data). A negative number means that there are more emigrants than immigrants.</t>
  </si>
  <si>
    <t>Median Age: age that divides the population into two numerically equal groups: half of the people are older than the median age indicated and half are younger. This parameter provides an indication of age distribution.</t>
  </si>
  <si>
    <t>Fertility Rate: (Total Fertility Rate, or TFR), it is expressed as children per woman. It is calculated as the average number of children an average woman will have during her reproductive period (15 to 49 years old) based on the current fertility rates of every age group in the country, and assuming she is not subject to mortality.</t>
  </si>
  <si>
    <t>Density (P/Km²): (Population Density) Population per square Kilometer (Km²).</t>
  </si>
  <si>
    <t>Urban Pop % : Urban population as a percentage of total population.</t>
  </si>
  <si>
    <t>Urban Population: Population living in areas classified as urban according to the criteria used by each country.</t>
  </si>
  <si>
    <t>Country's Share of World Pop: Total population in the country as a percentage of total World Population as of July 1 of the year indicated.</t>
  </si>
  <si>
    <t>World Population: Total World Population as of July 1 of the year indicated.</t>
  </si>
  <si>
    <t>Global Rank: Position held by India in the list of all countries worldwide ranked by population (from the highest population to the lowest population) as of July 1 of the year indicated.</t>
  </si>
  <si>
    <t>Share This!</t>
  </si>
  <si>
    <t>about | faq | languages | licensing | contact</t>
  </si>
  <si>
    <t>© Copyright Worldometers.info - All rights reserved - Disclaimer &amp; Privacy Policy</t>
  </si>
  <si>
    <t>Quantcast</t>
  </si>
  <si>
    <t>Project</t>
  </si>
  <si>
    <t>Project-A</t>
  </si>
  <si>
    <t>Project-B</t>
  </si>
  <si>
    <t>Porject-C</t>
  </si>
  <si>
    <t>NAME OF STUDENT</t>
  </si>
  <si>
    <t>ADDRESS</t>
  </si>
  <si>
    <t>COURSES</t>
  </si>
  <si>
    <t>PHONE NO</t>
  </si>
  <si>
    <t>PHOTO</t>
  </si>
  <si>
    <t>SIGN</t>
  </si>
  <si>
    <t>SIDDHESH</t>
  </si>
  <si>
    <t>POWAI</t>
  </si>
  <si>
    <t>AD EXCEL</t>
  </si>
  <si>
    <t>3456454445</t>
  </si>
  <si>
    <t>Roman_Reigns_bio--0ae73db3f83e01688662e05e04cfd552.jpg</t>
  </si>
  <si>
    <t>E- Commerce Business - Copy.pptx</t>
  </si>
  <si>
    <t>KUNAL</t>
  </si>
  <si>
    <t>NAHAR</t>
  </si>
  <si>
    <t>MSCIT</t>
  </si>
  <si>
    <t>5644544445</t>
  </si>
  <si>
    <t>atul-jirafe-sai-nagar-amravati-statue-manufacturers-j9msjl6bvb.jpg</t>
  </si>
  <si>
    <t>mal00151-maliyas-original-imaevyzvtz4grsbu.jpeg</t>
  </si>
  <si>
    <t>SHUBHAM</t>
  </si>
  <si>
    <t>GHATKOPAR</t>
  </si>
  <si>
    <t>TALLY</t>
  </si>
  <si>
    <t>5456441655</t>
  </si>
  <si>
    <t>images (1).jpg</t>
  </si>
  <si>
    <t>contact</t>
  </si>
  <si>
    <t>adhar</t>
  </si>
  <si>
    <t>pan</t>
  </si>
  <si>
    <t>Items</t>
  </si>
  <si>
    <t>Revenue</t>
  </si>
  <si>
    <t>Prices</t>
  </si>
  <si>
    <t>Min</t>
  </si>
  <si>
    <t>Max</t>
  </si>
  <si>
    <t>Sales Details</t>
  </si>
  <si>
    <t>Constraints</t>
  </si>
  <si>
    <t>BhelPuri</t>
  </si>
  <si>
    <t>PaniPuri</t>
  </si>
  <si>
    <t>DahiPuri</t>
  </si>
  <si>
    <t>Quantity</t>
  </si>
  <si>
    <t>Anil Verma</t>
  </si>
  <si>
    <t>Desg-Labour Project 1</t>
  </si>
  <si>
    <t>Ghatkopar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</si>
</sst>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1" x14ac:knownFonts="1">
    <font>
      <sz val="11"/>
      <color theme="1"/>
      <name val="Tw Cen MT"/>
      <family val="2"/>
      <scheme val="minor"/>
    </font>
    <font>
      <b/>
      <sz val="11"/>
      <color theme="1"/>
      <name val="Tw Cen MT"/>
      <family val="2"/>
      <scheme val="minor"/>
    </font>
    <font>
      <u/>
      <sz val="11"/>
      <color theme="10"/>
      <name val="Tw Cen MT"/>
      <family val="2"/>
      <scheme val="minor"/>
    </font>
    <font>
      <b/>
      <sz val="11"/>
      <color rgb="FFFF0000"/>
      <name val="Tw Cen MT"/>
      <family val="2"/>
      <scheme val="minor"/>
    </font>
    <font>
      <sz val="20"/>
      <color theme="1"/>
      <name val="Calibri"/>
      <family val="2"/>
    </font>
    <font>
      <sz val="20"/>
      <color theme="1"/>
      <name val="Symbol"/>
      <family val="1"/>
      <charset val="2"/>
    </font>
    <font>
      <sz val="20"/>
      <color theme="1"/>
      <name val="Wingdings"/>
      <charset val="2"/>
    </font>
    <font>
      <sz val="10"/>
      <name val="Arial"/>
      <family val="2"/>
    </font>
    <font>
      <b/>
      <sz val="10"/>
      <name val="Arial"/>
      <family val="2"/>
    </font>
    <font>
      <sz val="9"/>
      <color indexed="81"/>
      <name val="Tahoma"/>
      <family val="2"/>
    </font>
    <font>
      <b/>
      <sz val="10"/>
      <name val="Arial Black"/>
      <family val="2"/>
    </font>
  </fonts>
  <fills count="4">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2" fillId="0" borderId="0" applyNumberFormat="0" applyFill="0" applyBorder="0" applyAlignment="0" applyProtection="0"/>
    <xf numFmtId="0" fontId="7" fillId="0" borderId="0"/>
  </cellStyleXfs>
  <cellXfs count="2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14" fontId="0" fillId="2" borderId="0" xfId="0" applyNumberFormat="1" applyFill="1"/>
    <xf numFmtId="0" fontId="1" fillId="0" borderId="0" xfId="0" applyFont="1"/>
    <xf numFmtId="0" fontId="1" fillId="0" borderId="0" xfId="0" applyFont="1" applyAlignment="1">
      <alignment horizontal="center" vertical="center"/>
    </xf>
    <xf numFmtId="0" fontId="2" fillId="0" borderId="0" xfId="1"/>
    <xf numFmtId="0" fontId="4" fillId="0" borderId="0" xfId="0" applyFont="1"/>
    <xf numFmtId="14" fontId="0" fillId="0" borderId="0" xfId="0" applyNumberFormat="1" applyAlignment="1">
      <alignment horizontal="center"/>
    </xf>
    <xf numFmtId="0" fontId="0" fillId="0" borderId="0" xfId="0" applyAlignment="1">
      <alignment horizontal="center"/>
    </xf>
    <xf numFmtId="0" fontId="8" fillId="0" borderId="1" xfId="2" applyFont="1" applyFill="1" applyBorder="1" applyAlignment="1">
      <alignment horizontal="center"/>
    </xf>
    <xf numFmtId="0" fontId="7" fillId="0" borderId="1" xfId="2" applyBorder="1" applyAlignment="1">
      <alignment horizontal="center"/>
    </xf>
    <xf numFmtId="0" fontId="7" fillId="0" borderId="1" xfId="2" applyBorder="1"/>
    <xf numFmtId="164" fontId="7" fillId="0" borderId="1" xfId="2" applyNumberFormat="1" applyFont="1" applyBorder="1"/>
    <xf numFmtId="0" fontId="7" fillId="0" borderId="1" xfId="2" applyFont="1" applyBorder="1"/>
    <xf numFmtId="0" fontId="0" fillId="0" borderId="1" xfId="0" applyBorder="1"/>
    <xf numFmtId="0" fontId="8" fillId="0" borderId="2" xfId="2" applyFont="1" applyFill="1" applyBorder="1" applyAlignment="1">
      <alignment horizontal="center"/>
    </xf>
    <xf numFmtId="0" fontId="3" fillId="2" borderId="0" xfId="0" applyFont="1" applyFill="1" applyAlignment="1">
      <alignment horizontal="center"/>
    </xf>
    <xf numFmtId="3" fontId="0" fillId="0" borderId="0" xfId="0" applyNumberFormat="1"/>
    <xf numFmtId="10" fontId="0" fillId="0" borderId="0" xfId="0" applyNumberFormat="1"/>
    <xf numFmtId="0" fontId="1" fillId="0" borderId="0" xfId="0" applyFont="1" applyAlignment="1">
      <alignment horizontal="center"/>
    </xf>
    <xf numFmtId="0" fontId="0" fillId="0" borderId="0" xfId="0" applyNumberFormat="1" applyAlignment="1">
      <alignment horizontal="center"/>
    </xf>
    <xf numFmtId="0" fontId="7" fillId="3" borderId="1" xfId="2" applyFill="1" applyBorder="1"/>
    <xf numFmtId="0" fontId="8" fillId="0" borderId="0" xfId="2" applyFont="1" applyFill="1" applyBorder="1" applyAlignment="1">
      <alignment horizontal="center"/>
    </xf>
    <xf numFmtId="0" fontId="10" fillId="2" borderId="1" xfId="2" applyFont="1" applyFill="1" applyBorder="1" applyAlignment="1">
      <alignment horizontal="center"/>
    </xf>
    <xf numFmtId="0" fontId="10" fillId="2" borderId="2" xfId="2" applyFont="1" applyFill="1" applyBorder="1" applyAlignment="1">
      <alignment horizontal="center"/>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'PART 42'!$C$1</c:f>
              <c:strCache>
                <c:ptCount val="1"/>
                <c:pt idx="0">
                  <c:v>SUB1</c:v>
                </c:pt>
              </c:strCache>
            </c:strRef>
          </c:tx>
          <c:spPr>
            <a:solidFill>
              <a:schemeClr val="accent6"/>
            </a:solidFill>
            <a:ln>
              <a:noFill/>
            </a:ln>
            <a:effectLst/>
          </c:spPr>
          <c:invertIfNegative val="0"/>
          <c:dLbls>
            <c:spPr>
              <a:solidFill>
                <a:schemeClr val="tx1">
                  <a:lumMod val="85000"/>
                  <a:lumOff val="1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'PART 42'!$B$2:$B$6</c:f>
              <c:strCache>
                <c:ptCount val="5"/>
                <c:pt idx="0">
                  <c:v>A</c:v>
                </c:pt>
                <c:pt idx="1">
                  <c:v>B</c:v>
                </c:pt>
                <c:pt idx="2">
                  <c:v>C</c:v>
                </c:pt>
                <c:pt idx="3">
                  <c:v>D</c:v>
                </c:pt>
                <c:pt idx="4">
                  <c:v>E</c:v>
                </c:pt>
              </c:strCache>
            </c:strRef>
          </c:cat>
          <c:val>
            <c:numRef>
              <c:f>'PART 42'!$C$2:$C$6</c:f>
              <c:numCache>
                <c:formatCode>General</c:formatCode>
                <c:ptCount val="5"/>
                <c:pt idx="0">
                  <c:v>23</c:v>
                </c:pt>
                <c:pt idx="1">
                  <c:v>98</c:v>
                </c:pt>
                <c:pt idx="2">
                  <c:v>80</c:v>
                </c:pt>
                <c:pt idx="3">
                  <c:v>50</c:v>
                </c:pt>
                <c:pt idx="4">
                  <c:v>34</c:v>
                </c:pt>
              </c:numCache>
            </c:numRef>
          </c:val>
        </c:ser>
        <c:ser>
          <c:idx val="1"/>
          <c:order val="1"/>
          <c:tx>
            <c:strRef>
              <c:f>'PART 42'!$D$1</c:f>
              <c:strCache>
                <c:ptCount val="1"/>
                <c:pt idx="0">
                  <c:v>SUB2</c:v>
                </c:pt>
              </c:strCache>
            </c:strRef>
          </c:tx>
          <c:spPr>
            <a:solidFill>
              <a:srgbClr val="C00000"/>
            </a:solidFill>
            <a:ln>
              <a:noFill/>
            </a:ln>
            <a:effectLst/>
          </c:spPr>
          <c:invertIfNegative val="0"/>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'PART 42'!$B$2:$B$6</c:f>
              <c:strCache>
                <c:ptCount val="5"/>
                <c:pt idx="0">
                  <c:v>A</c:v>
                </c:pt>
                <c:pt idx="1">
                  <c:v>B</c:v>
                </c:pt>
                <c:pt idx="2">
                  <c:v>C</c:v>
                </c:pt>
                <c:pt idx="3">
                  <c:v>D</c:v>
                </c:pt>
                <c:pt idx="4">
                  <c:v>E</c:v>
                </c:pt>
              </c:strCache>
            </c:strRef>
          </c:cat>
          <c:val>
            <c:numRef>
              <c:f>'PART 42'!$D$2:$D$6</c:f>
              <c:numCache>
                <c:formatCode>General</c:formatCode>
                <c:ptCount val="5"/>
                <c:pt idx="0">
                  <c:v>92</c:v>
                </c:pt>
                <c:pt idx="1">
                  <c:v>45</c:v>
                </c:pt>
                <c:pt idx="2">
                  <c:v>65</c:v>
                </c:pt>
                <c:pt idx="3">
                  <c:v>59</c:v>
                </c:pt>
                <c:pt idx="4">
                  <c:v>50</c:v>
                </c:pt>
              </c:numCache>
            </c:numRef>
          </c:val>
        </c:ser>
        <c:ser>
          <c:idx val="2"/>
          <c:order val="2"/>
          <c:tx>
            <c:strRef>
              <c:f>'PART 42'!$E$1</c:f>
              <c:strCache>
                <c:ptCount val="1"/>
                <c:pt idx="0">
                  <c:v>SUB3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'PART 42'!$B$2:$B$6</c:f>
              <c:strCache>
                <c:ptCount val="5"/>
                <c:pt idx="0">
                  <c:v>A</c:v>
                </c:pt>
                <c:pt idx="1">
                  <c:v>B</c:v>
                </c:pt>
                <c:pt idx="2">
                  <c:v>C</c:v>
                </c:pt>
                <c:pt idx="3">
                  <c:v>D</c:v>
                </c:pt>
                <c:pt idx="4">
                  <c:v>E</c:v>
                </c:pt>
              </c:strCache>
            </c:strRef>
          </c:cat>
          <c:val>
            <c:numRef>
              <c:f>'PART 42'!$E$2:$E$6</c:f>
              <c:numCache>
                <c:formatCode>General</c:formatCode>
                <c:ptCount val="5"/>
                <c:pt idx="0">
                  <c:v>61</c:v>
                </c:pt>
                <c:pt idx="1">
                  <c:v>58</c:v>
                </c:pt>
                <c:pt idx="2">
                  <c:v>87</c:v>
                </c:pt>
                <c:pt idx="3">
                  <c:v>67</c:v>
                </c:pt>
                <c:pt idx="4">
                  <c:v>27</c:v>
                </c:pt>
              </c:numCache>
            </c:numRef>
          </c:val>
        </c:ser>
        <c:dLbls>
          <c:dLblPos val="outEnd"/>
          <c:showLegendKey val="0"/>
          <c:showVal val="1"/>
          <c:showCatName val="0"/>
          <c:showSerName val="0"/>
          <c:showPercent val="0"/>
          <c:showBubbleSize val="0"/>
        </c:dLbls>
        <c:gapWidth val="75"/>
        <c:axId val="282333072"/>
        <c:axId val="189883840"/>
      </c:barChart>
      <c:catAx>
        <c:axId val="28233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83840"/>
        <c:crosses val="autoZero"/>
        <c:auto val="1"/>
        <c:lblAlgn val="ctr"/>
        <c:lblOffset val="100"/>
        <c:noMultiLvlLbl val="0"/>
      </c:catAx>
      <c:valAx>
        <c:axId val="18988384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333072"/>
        <c:crosses val="autoZero"/>
        <c:crossBetween val="between"/>
      </c:valAx>
      <c:spPr>
        <a:noFill/>
        <a:ln>
          <a:noFill/>
        </a:ln>
        <a:effectLst/>
      </c:spPr>
    </c:plotArea>
    <c:legend>
      <c:legendPos val="b"/>
      <c:overlay val="0"/>
      <c:spPr>
        <a:solidFill>
          <a:schemeClr val="tx1">
            <a:lumMod val="85000"/>
            <a:lumOff val="15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'PART 43'!$B$11</c:f>
              <c:strCache>
                <c:ptCount val="1"/>
                <c:pt idx="0">
                  <c:v>SALES</c:v>
                </c:pt>
              </c:strCache>
            </c:strRef>
          </c:tx>
          <c:dPt>
            <c:idx val="0"/>
            <c:bubble3D val="0"/>
            <c:spPr>
              <a:solidFill>
                <a:srgbClr val="92D050"/>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rgbClr val="FFFF00"/>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'PART 43'!$A$12:$A$15</c:f>
              <c:strCache>
                <c:ptCount val="4"/>
                <c:pt idx="0">
                  <c:v>AJAY</c:v>
                </c:pt>
                <c:pt idx="1">
                  <c:v>ANIL</c:v>
                </c:pt>
                <c:pt idx="2">
                  <c:v>SURAJ</c:v>
                </c:pt>
                <c:pt idx="3">
                  <c:v>SURESH</c:v>
                </c:pt>
              </c:strCache>
            </c:strRef>
          </c:cat>
          <c:val>
            <c:numRef>
              <c:f>'PART 43'!$B$12:$B$15</c:f>
              <c:numCache>
                <c:formatCode>General</c:formatCode>
                <c:ptCount val="4"/>
                <c:pt idx="0">
                  <c:v>52</c:v>
                </c:pt>
                <c:pt idx="1">
                  <c:v>65</c:v>
                </c:pt>
                <c:pt idx="2">
                  <c:v>99</c:v>
                </c:pt>
                <c:pt idx="3">
                  <c:v>98</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3B40562-4BE1-4A03-A910-9CB921383E6E}" type="doc">
      <dgm:prSet loTypeId="urn:microsoft.com/office/officeart/2005/8/layout/default" loCatId="list" qsTypeId="urn:microsoft.com/office/officeart/2005/8/quickstyle/simple1" qsCatId="simple" csTypeId="urn:microsoft.com/office/officeart/2005/8/colors/accent1_2" csCatId="accent1" phldr="0"/>
      <dgm:spPr/>
      <dgm:t>
        <a:bodyPr/>
        <a:lstStyle/>
        <a:p>
          <a:endParaRPr lang="en-US"/>
        </a:p>
      </dgm:t>
    </dgm:pt>
    <dgm:pt modelId="{C8A5E669-7D40-4411-9477-C33468A15E81}">
      <dgm:prSet phldrT="[Text]" phldr="1"/>
      <dgm:spPr/>
      <dgm:t>
        <a:bodyPr/>
        <a:lstStyle/>
        <a:p>
          <a:endParaRPr lang="en-US"/>
        </a:p>
      </dgm:t>
    </dgm:pt>
    <dgm:pt modelId="{C9E139C9-D63F-431F-AE70-99C897307947}" type="parTrans" cxnId="{E0DB08DF-D43E-4370-B54B-16DF5B41BEF4}">
      <dgm:prSet/>
      <dgm:spPr/>
      <dgm:t>
        <a:bodyPr/>
        <a:lstStyle/>
        <a:p>
          <a:endParaRPr lang="en-US"/>
        </a:p>
      </dgm:t>
    </dgm:pt>
    <dgm:pt modelId="{492AFBFE-9081-4E6B-B55E-4AE44388FF53}" type="sibTrans" cxnId="{E0DB08DF-D43E-4370-B54B-16DF5B41BEF4}">
      <dgm:prSet/>
      <dgm:spPr/>
      <dgm:t>
        <a:bodyPr/>
        <a:lstStyle/>
        <a:p>
          <a:endParaRPr lang="en-US"/>
        </a:p>
      </dgm:t>
    </dgm:pt>
    <dgm:pt modelId="{0FC4CD8F-148E-40FD-970E-827F71822AE7}">
      <dgm:prSet phldrT="[Text]" phldr="1"/>
      <dgm:spPr/>
      <dgm:t>
        <a:bodyPr/>
        <a:lstStyle/>
        <a:p>
          <a:endParaRPr lang="en-US"/>
        </a:p>
      </dgm:t>
    </dgm:pt>
    <dgm:pt modelId="{6EA95386-FE16-45C0-AD31-E6B6D496A9A6}" type="parTrans" cxnId="{F2287D22-7AB5-427F-9B5E-B5480145C99A}">
      <dgm:prSet/>
      <dgm:spPr/>
      <dgm:t>
        <a:bodyPr/>
        <a:lstStyle/>
        <a:p>
          <a:endParaRPr lang="en-US"/>
        </a:p>
      </dgm:t>
    </dgm:pt>
    <dgm:pt modelId="{AD3600E5-FC7B-40DA-824F-85B3F1C6685C}" type="sibTrans" cxnId="{F2287D22-7AB5-427F-9B5E-B5480145C99A}">
      <dgm:prSet/>
      <dgm:spPr/>
      <dgm:t>
        <a:bodyPr/>
        <a:lstStyle/>
        <a:p>
          <a:endParaRPr lang="en-US"/>
        </a:p>
      </dgm:t>
    </dgm:pt>
    <dgm:pt modelId="{3E36BEDE-ECB4-4823-B80F-071710FC1ED5}">
      <dgm:prSet phldrT="[Text]" phldr="1"/>
      <dgm:spPr/>
      <dgm:t>
        <a:bodyPr/>
        <a:lstStyle/>
        <a:p>
          <a:endParaRPr lang="en-US"/>
        </a:p>
      </dgm:t>
    </dgm:pt>
    <dgm:pt modelId="{A679E135-53CF-4B19-8352-B073CBB81897}" type="parTrans" cxnId="{9CA3BA6C-E0C9-412F-BB0C-31B2232DF4ED}">
      <dgm:prSet/>
      <dgm:spPr/>
      <dgm:t>
        <a:bodyPr/>
        <a:lstStyle/>
        <a:p>
          <a:endParaRPr lang="en-US"/>
        </a:p>
      </dgm:t>
    </dgm:pt>
    <dgm:pt modelId="{DCACD63B-2B04-43AA-8F6D-98D5DB383860}" type="sibTrans" cxnId="{9CA3BA6C-E0C9-412F-BB0C-31B2232DF4ED}">
      <dgm:prSet/>
      <dgm:spPr/>
      <dgm:t>
        <a:bodyPr/>
        <a:lstStyle/>
        <a:p>
          <a:endParaRPr lang="en-US"/>
        </a:p>
      </dgm:t>
    </dgm:pt>
    <dgm:pt modelId="{F442874B-FFEA-4EA5-A8B7-729ACC6762C0}">
      <dgm:prSet phldrT="[Text]" phldr="1"/>
      <dgm:spPr/>
      <dgm:t>
        <a:bodyPr/>
        <a:lstStyle/>
        <a:p>
          <a:endParaRPr lang="en-US"/>
        </a:p>
      </dgm:t>
    </dgm:pt>
    <dgm:pt modelId="{FA658968-CEE0-4D96-BF99-F02B4594461E}" type="parTrans" cxnId="{CDC41673-EECA-4285-980E-55376BB4B4BF}">
      <dgm:prSet/>
      <dgm:spPr/>
      <dgm:t>
        <a:bodyPr/>
        <a:lstStyle/>
        <a:p>
          <a:endParaRPr lang="en-US"/>
        </a:p>
      </dgm:t>
    </dgm:pt>
    <dgm:pt modelId="{2B8D080C-2360-4FD9-BBDB-2C23750058CD}" type="sibTrans" cxnId="{CDC41673-EECA-4285-980E-55376BB4B4BF}">
      <dgm:prSet/>
      <dgm:spPr/>
      <dgm:t>
        <a:bodyPr/>
        <a:lstStyle/>
        <a:p>
          <a:endParaRPr lang="en-US"/>
        </a:p>
      </dgm:t>
    </dgm:pt>
    <dgm:pt modelId="{CE352634-1768-4A9E-9C6D-B37EBCCFF5F0}">
      <dgm:prSet phldrT="[Text]" phldr="1"/>
      <dgm:spPr/>
      <dgm:t>
        <a:bodyPr/>
        <a:lstStyle/>
        <a:p>
          <a:endParaRPr lang="en-US"/>
        </a:p>
      </dgm:t>
    </dgm:pt>
    <dgm:pt modelId="{F72D5268-0556-4C04-BC0A-1752C08EA2EA}" type="parTrans" cxnId="{1DEFCFA9-8304-4881-A9E0-BE3E78FD75F0}">
      <dgm:prSet/>
      <dgm:spPr/>
      <dgm:t>
        <a:bodyPr/>
        <a:lstStyle/>
        <a:p>
          <a:endParaRPr lang="en-US"/>
        </a:p>
      </dgm:t>
    </dgm:pt>
    <dgm:pt modelId="{1859B09D-27A2-47DC-A622-6352EA38980C}" type="sibTrans" cxnId="{1DEFCFA9-8304-4881-A9E0-BE3E78FD75F0}">
      <dgm:prSet/>
      <dgm:spPr/>
      <dgm:t>
        <a:bodyPr/>
        <a:lstStyle/>
        <a:p>
          <a:endParaRPr lang="en-US"/>
        </a:p>
      </dgm:t>
    </dgm:pt>
    <dgm:pt modelId="{A39005B7-C59F-4E2F-A3A9-3B8BF1F27694}" type="pres">
      <dgm:prSet presAssocID="{33B40562-4BE1-4A03-A910-9CB921383E6E}" presName="diagram" presStyleCnt="0">
        <dgm:presLayoutVars>
          <dgm:dir/>
          <dgm:resizeHandles val="exact"/>
        </dgm:presLayoutVars>
      </dgm:prSet>
      <dgm:spPr/>
      <dgm:t>
        <a:bodyPr/>
        <a:lstStyle/>
        <a:p>
          <a:endParaRPr lang="en-US"/>
        </a:p>
      </dgm:t>
    </dgm:pt>
    <dgm:pt modelId="{4621F400-F1C5-4EE0-9535-4D6CCA142CC2}" type="pres">
      <dgm:prSet presAssocID="{C8A5E669-7D40-4411-9477-C33468A15E81}" presName="node" presStyleLbl="node1" presStyleIdx="0" presStyleCnt="5">
        <dgm:presLayoutVars>
          <dgm:bulletEnabled val="1"/>
        </dgm:presLayoutVars>
      </dgm:prSet>
      <dgm:spPr/>
      <dgm:t>
        <a:bodyPr/>
        <a:lstStyle/>
        <a:p>
          <a:endParaRPr lang="en-US"/>
        </a:p>
      </dgm:t>
    </dgm:pt>
    <dgm:pt modelId="{41BEB971-D5C6-46C0-8B52-7EF87B31C05B}" type="pres">
      <dgm:prSet presAssocID="{492AFBFE-9081-4E6B-B55E-4AE44388FF53}" presName="sibTrans" presStyleCnt="0"/>
      <dgm:spPr/>
    </dgm:pt>
    <dgm:pt modelId="{BD38F4F1-6CE6-43F2-A75E-2B5F76EC9730}" type="pres">
      <dgm:prSet presAssocID="{0FC4CD8F-148E-40FD-970E-827F71822AE7}" presName="node" presStyleLbl="node1" presStyleIdx="1" presStyleCnt="5">
        <dgm:presLayoutVars>
          <dgm:bulletEnabled val="1"/>
        </dgm:presLayoutVars>
      </dgm:prSet>
      <dgm:spPr/>
      <dgm:t>
        <a:bodyPr/>
        <a:lstStyle/>
        <a:p>
          <a:endParaRPr lang="en-US"/>
        </a:p>
      </dgm:t>
    </dgm:pt>
    <dgm:pt modelId="{E5BF75D3-CCA5-46D0-9D60-2A9D3C82E6A8}" type="pres">
      <dgm:prSet presAssocID="{AD3600E5-FC7B-40DA-824F-85B3F1C6685C}" presName="sibTrans" presStyleCnt="0"/>
      <dgm:spPr/>
    </dgm:pt>
    <dgm:pt modelId="{008AF046-D0FC-4444-B32B-CF251BDFA9DA}" type="pres">
      <dgm:prSet presAssocID="{3E36BEDE-ECB4-4823-B80F-071710FC1ED5}" presName="node" presStyleLbl="node1" presStyleIdx="2" presStyleCnt="5">
        <dgm:presLayoutVars>
          <dgm:bulletEnabled val="1"/>
        </dgm:presLayoutVars>
      </dgm:prSet>
      <dgm:spPr/>
      <dgm:t>
        <a:bodyPr/>
        <a:lstStyle/>
        <a:p>
          <a:endParaRPr lang="en-US"/>
        </a:p>
      </dgm:t>
    </dgm:pt>
    <dgm:pt modelId="{27BC38AC-A555-4CDD-8B58-8829BF535AE5}" type="pres">
      <dgm:prSet presAssocID="{DCACD63B-2B04-43AA-8F6D-98D5DB383860}" presName="sibTrans" presStyleCnt="0"/>
      <dgm:spPr/>
    </dgm:pt>
    <dgm:pt modelId="{B2CDABA3-2834-4344-842F-1F22FA192FD6}" type="pres">
      <dgm:prSet presAssocID="{F442874B-FFEA-4EA5-A8B7-729ACC6762C0}" presName="node" presStyleLbl="node1" presStyleIdx="3" presStyleCnt="5">
        <dgm:presLayoutVars>
          <dgm:bulletEnabled val="1"/>
        </dgm:presLayoutVars>
      </dgm:prSet>
      <dgm:spPr/>
      <dgm:t>
        <a:bodyPr/>
        <a:lstStyle/>
        <a:p>
          <a:endParaRPr lang="en-US"/>
        </a:p>
      </dgm:t>
    </dgm:pt>
    <dgm:pt modelId="{26C0B1D3-266E-4F80-9499-4B514A65170E}" type="pres">
      <dgm:prSet presAssocID="{2B8D080C-2360-4FD9-BBDB-2C23750058CD}" presName="sibTrans" presStyleCnt="0"/>
      <dgm:spPr/>
    </dgm:pt>
    <dgm:pt modelId="{0E0C65B3-E806-46A0-8A46-5F8C6C2F22A2}" type="pres">
      <dgm:prSet presAssocID="{CE352634-1768-4A9E-9C6D-B37EBCCFF5F0}" presName="node" presStyleLbl="node1" presStyleIdx="4" presStyleCnt="5">
        <dgm:presLayoutVars>
          <dgm:bulletEnabled val="1"/>
        </dgm:presLayoutVars>
      </dgm:prSet>
      <dgm:spPr/>
      <dgm:t>
        <a:bodyPr/>
        <a:lstStyle/>
        <a:p>
          <a:endParaRPr lang="en-US"/>
        </a:p>
      </dgm:t>
    </dgm:pt>
  </dgm:ptLst>
  <dgm:cxnLst>
    <dgm:cxn modelId="{9CA3BA6C-E0C9-412F-BB0C-31B2232DF4ED}" srcId="{33B40562-4BE1-4A03-A910-9CB921383E6E}" destId="{3E36BEDE-ECB4-4823-B80F-071710FC1ED5}" srcOrd="2" destOrd="0" parTransId="{A679E135-53CF-4B19-8352-B073CBB81897}" sibTransId="{DCACD63B-2B04-43AA-8F6D-98D5DB383860}"/>
    <dgm:cxn modelId="{081EDDAE-3EB0-4CBD-A4CB-BCC46E0DED00}" type="presOf" srcId="{CE352634-1768-4A9E-9C6D-B37EBCCFF5F0}" destId="{0E0C65B3-E806-46A0-8A46-5F8C6C2F22A2}" srcOrd="0" destOrd="0" presId="urn:microsoft.com/office/officeart/2005/8/layout/default"/>
    <dgm:cxn modelId="{1DEFCFA9-8304-4881-A9E0-BE3E78FD75F0}" srcId="{33B40562-4BE1-4A03-A910-9CB921383E6E}" destId="{CE352634-1768-4A9E-9C6D-B37EBCCFF5F0}" srcOrd="4" destOrd="0" parTransId="{F72D5268-0556-4C04-BC0A-1752C08EA2EA}" sibTransId="{1859B09D-27A2-47DC-A622-6352EA38980C}"/>
    <dgm:cxn modelId="{CA201F8C-7822-4C43-9462-26A4EBDEEFB6}" type="presOf" srcId="{C8A5E669-7D40-4411-9477-C33468A15E81}" destId="{4621F400-F1C5-4EE0-9535-4D6CCA142CC2}" srcOrd="0" destOrd="0" presId="urn:microsoft.com/office/officeart/2005/8/layout/default"/>
    <dgm:cxn modelId="{F5BA2EF5-887E-4A7C-AE2A-0408BF8929E5}" type="presOf" srcId="{33B40562-4BE1-4A03-A910-9CB921383E6E}" destId="{A39005B7-C59F-4E2F-A3A9-3B8BF1F27694}" srcOrd="0" destOrd="0" presId="urn:microsoft.com/office/officeart/2005/8/layout/default"/>
    <dgm:cxn modelId="{706286E3-C075-4CA6-84D6-84329DE7070D}" type="presOf" srcId="{3E36BEDE-ECB4-4823-B80F-071710FC1ED5}" destId="{008AF046-D0FC-4444-B32B-CF251BDFA9DA}" srcOrd="0" destOrd="0" presId="urn:microsoft.com/office/officeart/2005/8/layout/default"/>
    <dgm:cxn modelId="{E0DB08DF-D43E-4370-B54B-16DF5B41BEF4}" srcId="{33B40562-4BE1-4A03-A910-9CB921383E6E}" destId="{C8A5E669-7D40-4411-9477-C33468A15E81}" srcOrd="0" destOrd="0" parTransId="{C9E139C9-D63F-431F-AE70-99C897307947}" sibTransId="{492AFBFE-9081-4E6B-B55E-4AE44388FF53}"/>
    <dgm:cxn modelId="{F2287D22-7AB5-427F-9B5E-B5480145C99A}" srcId="{33B40562-4BE1-4A03-A910-9CB921383E6E}" destId="{0FC4CD8F-148E-40FD-970E-827F71822AE7}" srcOrd="1" destOrd="0" parTransId="{6EA95386-FE16-45C0-AD31-E6B6D496A9A6}" sibTransId="{AD3600E5-FC7B-40DA-824F-85B3F1C6685C}"/>
    <dgm:cxn modelId="{CDC41673-EECA-4285-980E-55376BB4B4BF}" srcId="{33B40562-4BE1-4A03-A910-9CB921383E6E}" destId="{F442874B-FFEA-4EA5-A8B7-729ACC6762C0}" srcOrd="3" destOrd="0" parTransId="{FA658968-CEE0-4D96-BF99-F02B4594461E}" sibTransId="{2B8D080C-2360-4FD9-BBDB-2C23750058CD}"/>
    <dgm:cxn modelId="{A6F9DC22-54D7-4472-9147-2515FDA97C0A}" type="presOf" srcId="{F442874B-FFEA-4EA5-A8B7-729ACC6762C0}" destId="{B2CDABA3-2834-4344-842F-1F22FA192FD6}" srcOrd="0" destOrd="0" presId="urn:microsoft.com/office/officeart/2005/8/layout/default"/>
    <dgm:cxn modelId="{1B45612E-10B6-4D0B-ACE7-31B98E7CE035}" type="presOf" srcId="{0FC4CD8F-148E-40FD-970E-827F71822AE7}" destId="{BD38F4F1-6CE6-43F2-A75E-2B5F76EC9730}" srcOrd="0" destOrd="0" presId="urn:microsoft.com/office/officeart/2005/8/layout/default"/>
    <dgm:cxn modelId="{17F0B712-8F2A-4BCC-8C6B-B645D6AEF2EB}" type="presParOf" srcId="{A39005B7-C59F-4E2F-A3A9-3B8BF1F27694}" destId="{4621F400-F1C5-4EE0-9535-4D6CCA142CC2}" srcOrd="0" destOrd="0" presId="urn:microsoft.com/office/officeart/2005/8/layout/default"/>
    <dgm:cxn modelId="{BD2F6CCB-E5E8-4C2E-8808-CF07126B209C}" type="presParOf" srcId="{A39005B7-C59F-4E2F-A3A9-3B8BF1F27694}" destId="{41BEB971-D5C6-46C0-8B52-7EF87B31C05B}" srcOrd="1" destOrd="0" presId="urn:microsoft.com/office/officeart/2005/8/layout/default"/>
    <dgm:cxn modelId="{DECB627F-9788-47C2-BD3A-255DE53BAFDC}" type="presParOf" srcId="{A39005B7-C59F-4E2F-A3A9-3B8BF1F27694}" destId="{BD38F4F1-6CE6-43F2-A75E-2B5F76EC9730}" srcOrd="2" destOrd="0" presId="urn:microsoft.com/office/officeart/2005/8/layout/default"/>
    <dgm:cxn modelId="{7D33034D-A5FF-4875-9376-A45C39C994F0}" type="presParOf" srcId="{A39005B7-C59F-4E2F-A3A9-3B8BF1F27694}" destId="{E5BF75D3-CCA5-46D0-9D60-2A9D3C82E6A8}" srcOrd="3" destOrd="0" presId="urn:microsoft.com/office/officeart/2005/8/layout/default"/>
    <dgm:cxn modelId="{81122959-0986-4925-A681-0E3053C52BDB}" type="presParOf" srcId="{A39005B7-C59F-4E2F-A3A9-3B8BF1F27694}" destId="{008AF046-D0FC-4444-B32B-CF251BDFA9DA}" srcOrd="4" destOrd="0" presId="urn:microsoft.com/office/officeart/2005/8/layout/default"/>
    <dgm:cxn modelId="{AA019E70-66E9-4AF1-919B-CA1B95C8FDBF}" type="presParOf" srcId="{A39005B7-C59F-4E2F-A3A9-3B8BF1F27694}" destId="{27BC38AC-A555-4CDD-8B58-8829BF535AE5}" srcOrd="5" destOrd="0" presId="urn:microsoft.com/office/officeart/2005/8/layout/default"/>
    <dgm:cxn modelId="{BA2CADD1-1B9D-451B-B8F6-D72211980B5B}" type="presParOf" srcId="{A39005B7-C59F-4E2F-A3A9-3B8BF1F27694}" destId="{B2CDABA3-2834-4344-842F-1F22FA192FD6}" srcOrd="6" destOrd="0" presId="urn:microsoft.com/office/officeart/2005/8/layout/default"/>
    <dgm:cxn modelId="{533F70AA-B6F6-4128-B191-ECA2FD8F2F9E}" type="presParOf" srcId="{A39005B7-C59F-4E2F-A3A9-3B8BF1F27694}" destId="{26C0B1D3-266E-4F80-9499-4B514A65170E}" srcOrd="7" destOrd="0" presId="urn:microsoft.com/office/officeart/2005/8/layout/default"/>
    <dgm:cxn modelId="{DC6EC6A8-B0F9-479A-A23E-AA5A09885736}" type="presParOf" srcId="{A39005B7-C59F-4E2F-A3A9-3B8BF1F27694}" destId="{0E0C65B3-E806-46A0-8A46-5F8C6C2F22A2}" srcOrd="8" destOrd="0" presId="urn:microsoft.com/office/officeart/2005/8/layout/defaul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default">
  <dgm:title val=""/>
  <dgm:desc val=""/>
  <dgm:catLst>
    <dgm:cat type="list" pri="4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6" srcId="0" destId="1" srcOrd="0" destOrd="0"/>
        <dgm:cxn modelId="7" srcId="0" destId="2" srcOrd="1" destOrd="0"/>
        <dgm:cxn modelId="8" srcId="0" destId="3" srcOrd="2" destOrd="0"/>
        <dgm:cxn modelId="9" srcId="0" destId="4" srcOrd="3" destOrd="0"/>
        <dgm:cxn modelId="10"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 modelId="5"/>
        <dgm:pt modelId="6"/>
      </dgm:ptLst>
      <dgm:cxnLst>
        <dgm:cxn modelId="7" srcId="0" destId="1" srcOrd="0" destOrd="0"/>
        <dgm:cxn modelId="8" srcId="0" destId="2" srcOrd="1" destOrd="0"/>
        <dgm:cxn modelId="9" srcId="0" destId="3" srcOrd="2" destOrd="0"/>
        <dgm:cxn modelId="10" srcId="0" destId="4" srcOrd="3" destOrd="0"/>
        <dgm:cxn modelId="11" srcId="0" destId="5" srcOrd="4" destOrd="0"/>
        <dgm:cxn modelId="12" srcId="0" destId="6" srcOrd="5" destOrd="0"/>
      </dgm:cxnLst>
      <dgm:bg/>
      <dgm:whole/>
    </dgm:dataModel>
  </dgm:clrData>
  <dgm:layoutNode name="diagram">
    <dgm:varLst>
      <dgm:dir/>
      <dgm:resizeHandles val="exact"/>
    </dgm:varLst>
    <dgm:choose name="Name0">
      <dgm:if name="Name1" func="var" arg="dir" op="equ" val="norm">
        <dgm:alg type="snake">
          <dgm:param type="grDir" val="tL"/>
          <dgm:param type="flowDir" val="row"/>
          <dgm:param type="contDir" val="sameDir"/>
          <dgm:param type="off" val="ctr"/>
        </dgm:alg>
      </dgm:if>
      <dgm:else name="Name2">
        <dgm:alg type="snake">
          <dgm:param type="grDir" val="tR"/>
          <dgm:param type="flowDir" val="row"/>
          <dgm:param type="contDir" val="sameDir"/>
          <dgm:param type="off" val="ctr"/>
        </dgm:alg>
      </dgm:else>
    </dgm:choose>
    <dgm:shape xmlns:r="http://schemas.openxmlformats.org/officeDocument/2006/relationships" r:blip="">
      <dgm:adjLst/>
    </dgm:shape>
    <dgm:presOf/>
    <dgm:constrLst>
      <dgm:constr type="w" for="ch" forName="node" refType="w"/>
      <dgm:constr type="h" for="ch" forName="node" refType="w" refFor="ch" refForName="node" fact="0.6"/>
      <dgm:constr type="w" for="ch" forName="sibTrans" refType="w" refFor="ch" refForName="node" fact="0.1"/>
      <dgm:constr type="sp" refType="w" refFor="ch" refForName="sibTrans"/>
      <dgm:constr type="primFontSz" for="ch" forName="node" op="equ" val="65"/>
    </dgm:constrLst>
    <dgm:ruleLst/>
    <dgm:forEach name="Name3" axis="ch" ptType="node">
      <dgm:layoutNode name="node">
        <dgm:varLst>
          <dgm:bulletEnabled val="1"/>
        </dgm:varLst>
        <dgm:alg type="tx"/>
        <dgm:shape xmlns:r="http://schemas.openxmlformats.org/officeDocument/2006/relationships" type="rect" r:blip="">
          <dgm:adjLst/>
        </dgm:shape>
        <dgm:presOf axis="desOr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forEach name="Name4"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hyperlink" Target="#'PART 40'!A1"/></Relationships>
</file>

<file path=xl/drawings/_rels/drawing6.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137949</xdr:colOff>
      <xdr:row>8</xdr:row>
      <xdr:rowOff>135977</xdr:rowOff>
    </xdr:from>
    <xdr:to>
      <xdr:col>7</xdr:col>
      <xdr:colOff>39415</xdr:colOff>
      <xdr:row>23</xdr:row>
      <xdr:rowOff>21677</xdr:rowOff>
    </xdr:to>
    <xdr:graphicFrame macro="">
      <xdr:nvGraphicFramePr>
        <xdr:cNvPr id="2" name="Diagra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45983</xdr:colOff>
      <xdr:row>0</xdr:row>
      <xdr:rowOff>44012</xdr:rowOff>
    </xdr:from>
    <xdr:to>
      <xdr:col>12</xdr:col>
      <xdr:colOff>341586</xdr:colOff>
      <xdr:row>14</xdr:row>
      <xdr:rowOff>120212</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26276</xdr:colOff>
      <xdr:row>1</xdr:row>
      <xdr:rowOff>11172</xdr:rowOff>
    </xdr:from>
    <xdr:to>
      <xdr:col>10</xdr:col>
      <xdr:colOff>489256</xdr:colOff>
      <xdr:row>15</xdr:row>
      <xdr:rowOff>20842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597773</xdr:colOff>
      <xdr:row>1</xdr:row>
      <xdr:rowOff>65688</xdr:rowOff>
    </xdr:from>
    <xdr:to>
      <xdr:col>7</xdr:col>
      <xdr:colOff>183929</xdr:colOff>
      <xdr:row>5</xdr:row>
      <xdr:rowOff>111671</xdr:rowOff>
    </xdr:to>
    <xdr:sp macro="" textlink="$D$11">
      <xdr:nvSpPr>
        <xdr:cNvPr id="2" name="Oval 1"/>
        <xdr:cNvSpPr/>
      </xdr:nvSpPr>
      <xdr:spPr>
        <a:xfrm>
          <a:off x="3882256" y="256188"/>
          <a:ext cx="807983" cy="807983"/>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759A697-79FC-4A1C-8374-D06A99D2E385}" type="TxLink">
            <a:rPr lang="en-US" sz="2000" b="1" i="0" u="none" strike="noStrike">
              <a:solidFill>
                <a:srgbClr val="000000"/>
              </a:solidFill>
              <a:latin typeface="Calibri"/>
            </a:rPr>
            <a:pPr algn="ctr"/>
            <a:t>99</a:t>
          </a:fld>
          <a:endParaRPr lang="en-US" sz="20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240632</xdr:colOff>
      <xdr:row>1</xdr:row>
      <xdr:rowOff>125328</xdr:rowOff>
    </xdr:from>
    <xdr:to>
      <xdr:col>2</xdr:col>
      <xdr:colOff>320842</xdr:colOff>
      <xdr:row>3</xdr:row>
      <xdr:rowOff>90236</xdr:rowOff>
    </xdr:to>
    <xdr:sp macro="" textlink="">
      <xdr:nvSpPr>
        <xdr:cNvPr id="2" name="Rounded Rectangle 1">
          <a:hlinkClick xmlns:r="http://schemas.openxmlformats.org/officeDocument/2006/relationships" r:id="rId1"/>
        </xdr:cNvPr>
        <xdr:cNvSpPr/>
      </xdr:nvSpPr>
      <xdr:spPr>
        <a:xfrm>
          <a:off x="852237" y="315828"/>
          <a:ext cx="832184" cy="345908"/>
        </a:xfrm>
        <a:prstGeom prst="roundRect">
          <a:avLst/>
        </a:prstGeom>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latin typeface="Franklin Gothic Demi Cond" panose="020B0706030402020204" pitchFamily="34" charset="0"/>
              <a:cs typeface="Aharoni" panose="02010803020104030203" pitchFamily="2" charset="-79"/>
            </a:rPr>
            <a:t>PART 40</a:t>
          </a:r>
        </a:p>
      </xdr:txBody>
    </xdr:sp>
    <xdr:clientData/>
  </xdr:twoCellAnchor>
  <xdr:twoCellAnchor>
    <xdr:from>
      <xdr:col>1</xdr:col>
      <xdr:colOff>252663</xdr:colOff>
      <xdr:row>4</xdr:row>
      <xdr:rowOff>77202</xdr:rowOff>
    </xdr:from>
    <xdr:to>
      <xdr:col>2</xdr:col>
      <xdr:colOff>332873</xdr:colOff>
      <xdr:row>6</xdr:row>
      <xdr:rowOff>42110</xdr:rowOff>
    </xdr:to>
    <xdr:sp macro="" textlink="">
      <xdr:nvSpPr>
        <xdr:cNvPr id="3" name="Rounded Rectangle 2"/>
        <xdr:cNvSpPr/>
      </xdr:nvSpPr>
      <xdr:spPr>
        <a:xfrm>
          <a:off x="864268" y="839202"/>
          <a:ext cx="832184" cy="345908"/>
        </a:xfrm>
        <a:prstGeom prst="roundRect">
          <a:avLst/>
        </a:prstGeom>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latin typeface="Franklin Gothic Demi Cond" panose="020B0706030402020204" pitchFamily="34" charset="0"/>
              <a:cs typeface="Aharoni" panose="02010803020104030203" pitchFamily="2" charset="-79"/>
            </a:rPr>
            <a:t>PART 41</a:t>
          </a:r>
        </a:p>
      </xdr:txBody>
    </xdr:sp>
    <xdr:clientData/>
  </xdr:twoCellAnchor>
  <xdr:twoCellAnchor>
    <xdr:from>
      <xdr:col>2</xdr:col>
      <xdr:colOff>480261</xdr:colOff>
      <xdr:row>1</xdr:row>
      <xdr:rowOff>129339</xdr:rowOff>
    </xdr:from>
    <xdr:to>
      <xdr:col>3</xdr:col>
      <xdr:colOff>264695</xdr:colOff>
      <xdr:row>3</xdr:row>
      <xdr:rowOff>94247</xdr:rowOff>
    </xdr:to>
    <xdr:sp macro="" textlink="">
      <xdr:nvSpPr>
        <xdr:cNvPr id="4" name="Rounded Rectangle 3"/>
        <xdr:cNvSpPr/>
      </xdr:nvSpPr>
      <xdr:spPr>
        <a:xfrm>
          <a:off x="1843840" y="319839"/>
          <a:ext cx="832184" cy="345908"/>
        </a:xfrm>
        <a:prstGeom prst="roundRect">
          <a:avLst/>
        </a:prstGeom>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latin typeface="Franklin Gothic Demi Cond" panose="020B0706030402020204" pitchFamily="34" charset="0"/>
              <a:cs typeface="Aharoni" panose="02010803020104030203" pitchFamily="2" charset="-79"/>
            </a:rPr>
            <a:t>PART 42</a:t>
          </a:r>
        </a:p>
      </xdr:txBody>
    </xdr:sp>
    <xdr:clientData/>
  </xdr:twoCellAnchor>
  <xdr:twoCellAnchor>
    <xdr:from>
      <xdr:col>2</xdr:col>
      <xdr:colOff>447174</xdr:colOff>
      <xdr:row>4</xdr:row>
      <xdr:rowOff>76199</xdr:rowOff>
    </xdr:from>
    <xdr:to>
      <xdr:col>3</xdr:col>
      <xdr:colOff>231608</xdr:colOff>
      <xdr:row>6</xdr:row>
      <xdr:rowOff>41107</xdr:rowOff>
    </xdr:to>
    <xdr:sp macro="" textlink="">
      <xdr:nvSpPr>
        <xdr:cNvPr id="5" name="Rounded Rectangle 4"/>
        <xdr:cNvSpPr/>
      </xdr:nvSpPr>
      <xdr:spPr>
        <a:xfrm>
          <a:off x="1810753" y="838199"/>
          <a:ext cx="832184" cy="345908"/>
        </a:xfrm>
        <a:prstGeom prst="roundRect">
          <a:avLst/>
        </a:prstGeom>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latin typeface="Franklin Gothic Demi Cond" panose="020B0706030402020204" pitchFamily="34" charset="0"/>
              <a:cs typeface="Aharoni" panose="02010803020104030203" pitchFamily="2" charset="-79"/>
            </a:rPr>
            <a:t>PART 43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348153</xdr:colOff>
      <xdr:row>1</xdr:row>
      <xdr:rowOff>72259</xdr:rowOff>
    </xdr:from>
    <xdr:to>
      <xdr:col>10</xdr:col>
      <xdr:colOff>518946</xdr:colOff>
      <xdr:row>3</xdr:row>
      <xdr:rowOff>137949</xdr:rowOff>
    </xdr:to>
    <xdr:sp macro="" textlink="$D$2">
      <xdr:nvSpPr>
        <xdr:cNvPr id="2" name="TextBox 1"/>
        <xdr:cNvSpPr txBox="1"/>
      </xdr:nvSpPr>
      <xdr:spPr>
        <a:xfrm>
          <a:off x="5235463" y="262759"/>
          <a:ext cx="1392621" cy="44669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fld id="{512EFBEE-CA82-4302-8343-83E5E19A183F}" type="TxLink">
            <a:rPr lang="en-US" sz="3200" b="1" i="0" u="none" strike="noStrike">
              <a:solidFill>
                <a:srgbClr val="000000"/>
              </a:solidFill>
              <a:latin typeface="Calibri"/>
            </a:rPr>
            <a:pPr algn="ctr"/>
            <a:t>6250</a:t>
          </a:fld>
          <a:endParaRPr lang="en-US" sz="3200" b="1"/>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590549</xdr:colOff>
          <xdr:row>1</xdr:row>
          <xdr:rowOff>72118</xdr:rowOff>
        </xdr:from>
        <xdr:to>
          <xdr:col>7</xdr:col>
          <xdr:colOff>623024</xdr:colOff>
          <xdr:row>3</xdr:row>
          <xdr:rowOff>119743</xdr:rowOff>
        </xdr:to>
        <xdr:pic>
          <xdr:nvPicPr>
            <xdr:cNvPr id="2" name="Picture 1"/>
            <xdr:cNvPicPr>
              <a:picLocks noChangeAspect="1" noChangeArrowheads="1"/>
              <a:extLst>
                <a:ext uri="{84589F7E-364E-4C9E-8A38-B11213B215E9}">
                  <a14:cameraTool cellRange="$C$2" spid="_x0000_s24597"/>
                </a:ext>
              </a:extLst>
            </xdr:cNvPicPr>
          </xdr:nvPicPr>
          <xdr:blipFill>
            <a:blip xmlns:r="http://schemas.openxmlformats.org/officeDocument/2006/relationships" r:embed="rId1"/>
            <a:srcRect/>
            <a:stretch>
              <a:fillRect/>
            </a:stretch>
          </xdr:blipFill>
          <xdr:spPr bwMode="auto">
            <a:xfrm>
              <a:off x="3888920" y="251732"/>
              <a:ext cx="2089875" cy="40685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602795</xdr:colOff>
          <xdr:row>4</xdr:row>
          <xdr:rowOff>10886</xdr:rowOff>
        </xdr:from>
        <xdr:to>
          <xdr:col>7</xdr:col>
          <xdr:colOff>530436</xdr:colOff>
          <xdr:row>6</xdr:row>
          <xdr:rowOff>38100</xdr:rowOff>
        </xdr:to>
        <xdr:pic>
          <xdr:nvPicPr>
            <xdr:cNvPr id="3" name="Picture 2"/>
            <xdr:cNvPicPr>
              <a:picLocks noChangeAspect="1" noChangeArrowheads="1"/>
              <a:extLst>
                <a:ext uri="{84589F7E-364E-4C9E-8A38-B11213B215E9}">
                  <a14:cameraTool cellRange="$C$7" spid="_x0000_s24598"/>
                </a:ext>
              </a:extLst>
            </xdr:cNvPicPr>
          </xdr:nvPicPr>
          <xdr:blipFill>
            <a:blip xmlns:r="http://schemas.openxmlformats.org/officeDocument/2006/relationships" r:embed="rId2"/>
            <a:srcRect/>
            <a:stretch>
              <a:fillRect/>
            </a:stretch>
          </xdr:blipFill>
          <xdr:spPr bwMode="auto">
            <a:xfrm>
              <a:off x="3901166" y="729343"/>
              <a:ext cx="1985041" cy="3864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sif Sir" refreshedDate="43947.393262500002" createdVersion="5" refreshedVersion="5" minRefreshableVersion="3" recordCount="10">
  <cacheSource type="worksheet">
    <worksheetSource ref="A1:E11" sheet="PART 38"/>
  </cacheSource>
  <cacheFields count="5">
    <cacheField name="DATE " numFmtId="14">
      <sharedItems containsSemiMixedTypes="0" containsNonDate="0" containsDate="1" containsString="0" minDate="2016-12-01T00:00:00" maxDate="2016-12-03T00:00:00" count="2">
        <d v="2016-12-01T00:00:00"/>
        <d v="2016-12-02T00:00:00"/>
      </sharedItems>
    </cacheField>
    <cacheField name="SR NO" numFmtId="0">
      <sharedItems containsSemiMixedTypes="0" containsString="0" containsNumber="1" containsInteger="1" minValue="1" maxValue="5"/>
    </cacheField>
    <cacheField name="NAME OF EMP" numFmtId="0">
      <sharedItems/>
    </cacheField>
    <cacheField name="DEPT" numFmtId="0">
      <sharedItems count="3">
        <s v="Production"/>
        <s v="Packing"/>
        <s v="Forwarding"/>
      </sharedItems>
    </cacheField>
    <cacheField name="WAGES" numFmtId="0">
      <sharedItems containsSemiMixedTypes="0" containsString="0" containsNumber="1" containsInteger="1" minValue="100" maxValue="45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
  <r>
    <x v="0"/>
    <n v="1"/>
    <s v="A"/>
    <x v="0"/>
    <n v="100"/>
  </r>
  <r>
    <x v="1"/>
    <n v="1"/>
    <s v="A"/>
    <x v="0"/>
    <n v="350"/>
  </r>
  <r>
    <x v="0"/>
    <n v="2"/>
    <s v="B"/>
    <x v="1"/>
    <n v="350"/>
  </r>
  <r>
    <x v="1"/>
    <n v="2"/>
    <s v="B"/>
    <x v="1"/>
    <n v="250"/>
  </r>
  <r>
    <x v="0"/>
    <n v="3"/>
    <s v="C"/>
    <x v="2"/>
    <n v="450"/>
  </r>
  <r>
    <x v="1"/>
    <n v="3"/>
    <s v="C"/>
    <x v="2"/>
    <n v="250"/>
  </r>
  <r>
    <x v="0"/>
    <n v="4"/>
    <s v="D"/>
    <x v="0"/>
    <n v="250"/>
  </r>
  <r>
    <x v="1"/>
    <n v="4"/>
    <s v="D"/>
    <x v="0"/>
    <n v="350"/>
  </r>
  <r>
    <x v="0"/>
    <n v="5"/>
    <s v="E"/>
    <x v="2"/>
    <n v="120"/>
  </r>
  <r>
    <x v="1"/>
    <n v="5"/>
    <s v="E"/>
    <x v="2"/>
    <n v="1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D8" firstHeaderRow="1" firstDataRow="2" firstDataCol="1"/>
  <pivotFields count="5">
    <pivotField axis="axisCol" numFmtId="14" showAll="0">
      <items count="3">
        <item x="0"/>
        <item x="1"/>
        <item t="default"/>
      </items>
    </pivotField>
    <pivotField showAll="0"/>
    <pivotField showAll="0"/>
    <pivotField axis="axisRow" showAll="0">
      <items count="4">
        <item x="2"/>
        <item x="1"/>
        <item x="0"/>
        <item t="default"/>
      </items>
    </pivotField>
    <pivotField dataField="1" showAll="0"/>
  </pivotFields>
  <rowFields count="1">
    <field x="3"/>
  </rowFields>
  <rowItems count="4">
    <i>
      <x/>
    </i>
    <i>
      <x v="1"/>
    </i>
    <i>
      <x v="2"/>
    </i>
    <i t="grand">
      <x/>
    </i>
  </rowItems>
  <colFields count="1">
    <field x="0"/>
  </colFields>
  <colItems count="3">
    <i>
      <x/>
    </i>
    <i>
      <x v="1"/>
    </i>
    <i t="grand">
      <x/>
    </i>
  </colItems>
  <dataFields count="1">
    <dataField name="Sum of WAGE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SID.accdb" connectionId="3" autoFormatId="16" applyNumberFormats="0" applyBorderFormats="0" applyFontFormats="0" applyPatternFormats="0" applyAlignmentFormats="0" applyWidthHeightFormats="0">
  <queryTableRefresh nextId="8">
    <queryTableFields count="7">
      <queryTableField id="1" name="SR NO" tableColumnId="1"/>
      <queryTableField id="2" name="NAME OF STUDENT" tableColumnId="2"/>
      <queryTableField id="3" name="ADDRESS" tableColumnId="3"/>
      <queryTableField id="4" name="COURSES" tableColumnId="4"/>
      <queryTableField id="5" name="PHONE NO" tableColumnId="5"/>
      <queryTableField id="6" name="PHOTO" tableColumnId="6"/>
      <queryTableField id="7" name="SIGN" tableColumnId="7"/>
    </queryTableFields>
  </queryTableRefresh>
</queryTable>
</file>

<file path=xl/queryTables/queryTable2.xml><?xml version="1.0" encoding="utf-8"?>
<queryTable xmlns="http://schemas.openxmlformats.org/spreadsheetml/2006/main" name="Data in Text file"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india-population_1" connectionId="1" autoFormatId="16" applyNumberFormats="0" applyBorderFormats="0" applyFontFormats="1" applyPatternFormats="1" applyAlignmentFormats="0" applyWidthHeightFormats="0"/>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SID.accdb" displayName="Table_SID.accdb" ref="A1:G4" tableType="queryTable" totalsRowShown="0">
  <autoFilter ref="A1:G4"/>
  <tableColumns count="7">
    <tableColumn id="1" uniqueName="1" name="SR NO" queryTableFieldId="1"/>
    <tableColumn id="2" uniqueName="2" name="NAME OF STUDENT" queryTableFieldId="2"/>
    <tableColumn id="3" uniqueName="3" name="ADDRESS" queryTableFieldId="3"/>
    <tableColumn id="4" uniqueName="4" name="COURSES" queryTableFieldId="4"/>
    <tableColumn id="5" uniqueName="5" name="PHONE NO" queryTableFieldId="5"/>
    <tableColumn id="6" uniqueName="6" name="PHOTO" queryTableFieldId="6"/>
    <tableColumn id="7" uniqueName="7" name="SIGN" queryTableFieldId="7"/>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Circui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nset">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a:bevelT w="101600" h="25400" prst="softRound"/>
            <a:contourClr>
              <a:schemeClr val="phClr">
                <a:shade val="30000"/>
              </a:schemeClr>
            </a:contourClr>
          </a:sp3d>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table" Target="../tables/table1.xml"/><Relationship Id="rId1" Type="http://schemas.openxmlformats.org/officeDocument/2006/relationships/printerSettings" Target="../printerSettings/printerSettings18.bin"/><Relationship Id="rId4" Type="http://schemas.openxmlformats.org/officeDocument/2006/relationships/queryTable" Target="../queryTables/queryTable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D8"/>
  <sheetViews>
    <sheetView zoomScale="145" zoomScaleNormal="145" workbookViewId="0">
      <selection activeCell="C10" sqref="C10"/>
    </sheetView>
  </sheetViews>
  <sheetFormatPr defaultRowHeight="14.25" x14ac:dyDescent="0.2"/>
  <cols>
    <col min="1" max="1" width="12.625" bestFit="1" customWidth="1"/>
    <col min="2" max="2" width="14.375" bestFit="1" customWidth="1"/>
    <col min="3" max="4" width="10.125" bestFit="1" customWidth="1"/>
  </cols>
  <sheetData>
    <row r="3" spans="1:4" x14ac:dyDescent="0.2">
      <c r="A3" s="2" t="s">
        <v>15</v>
      </c>
      <c r="B3" s="2" t="s">
        <v>16</v>
      </c>
    </row>
    <row r="4" spans="1:4" x14ac:dyDescent="0.2">
      <c r="A4" s="2" t="s">
        <v>13</v>
      </c>
      <c r="B4" s="1">
        <v>42705</v>
      </c>
      <c r="C4" s="1">
        <v>42706</v>
      </c>
      <c r="D4" s="1" t="s">
        <v>14</v>
      </c>
    </row>
    <row r="5" spans="1:4" x14ac:dyDescent="0.2">
      <c r="A5" s="3" t="s">
        <v>10</v>
      </c>
      <c r="B5" s="4">
        <v>570</v>
      </c>
      <c r="C5" s="4">
        <v>370</v>
      </c>
      <c r="D5" s="4">
        <v>940</v>
      </c>
    </row>
    <row r="6" spans="1:4" x14ac:dyDescent="0.2">
      <c r="A6" s="3" t="s">
        <v>8</v>
      </c>
      <c r="B6" s="4">
        <v>350</v>
      </c>
      <c r="C6" s="4">
        <v>250</v>
      </c>
      <c r="D6" s="4">
        <v>600</v>
      </c>
    </row>
    <row r="7" spans="1:4" x14ac:dyDescent="0.2">
      <c r="A7" s="3" t="s">
        <v>6</v>
      </c>
      <c r="B7" s="4">
        <v>350</v>
      </c>
      <c r="C7" s="4">
        <v>700</v>
      </c>
      <c r="D7" s="4">
        <v>1050</v>
      </c>
    </row>
    <row r="8" spans="1:4" x14ac:dyDescent="0.2">
      <c r="A8" s="3" t="s">
        <v>14</v>
      </c>
      <c r="B8" s="4">
        <v>1270</v>
      </c>
      <c r="C8" s="4">
        <v>1320</v>
      </c>
      <c r="D8" s="4">
        <v>2590</v>
      </c>
    </row>
  </sheetData>
  <pageMargins left="0.7" right="0.7" top="0.75" bottom="0.75" header="0.3" footer="0.3"/>
  <pageSetup orientation="portrait"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1"/>
  <sheetViews>
    <sheetView zoomScale="145" zoomScaleNormal="145" workbookViewId="0">
      <selection sqref="A1:E11"/>
    </sheetView>
  </sheetViews>
  <sheetFormatPr defaultRowHeight="14.25" x14ac:dyDescent="0.2"/>
  <cols>
    <col min="1" max="1" width="11.875" customWidth="1"/>
    <col min="2" max="2" width="6.75" customWidth="1"/>
    <col min="3" max="4" width="14" customWidth="1"/>
    <col min="5" max="5" width="7.375" customWidth="1"/>
  </cols>
  <sheetData>
    <row r="1" spans="1:5" x14ac:dyDescent="0.2">
      <c r="A1" t="s">
        <v>0</v>
      </c>
      <c r="B1" t="s">
        <v>1</v>
      </c>
      <c r="C1" t="s">
        <v>2</v>
      </c>
      <c r="D1" t="s">
        <v>3</v>
      </c>
      <c r="E1" t="s">
        <v>4</v>
      </c>
    </row>
    <row r="2" spans="1:5" x14ac:dyDescent="0.2">
      <c r="A2" s="1">
        <v>42705</v>
      </c>
      <c r="B2">
        <v>1</v>
      </c>
      <c r="C2" t="s">
        <v>5</v>
      </c>
      <c r="D2" t="s">
        <v>6</v>
      </c>
      <c r="E2">
        <v>100</v>
      </c>
    </row>
    <row r="3" spans="1:5" x14ac:dyDescent="0.2">
      <c r="A3" s="1">
        <v>42706</v>
      </c>
      <c r="B3">
        <v>1</v>
      </c>
      <c r="C3" t="s">
        <v>5</v>
      </c>
      <c r="D3" t="s">
        <v>6</v>
      </c>
      <c r="E3">
        <v>350</v>
      </c>
    </row>
    <row r="4" spans="1:5" x14ac:dyDescent="0.2">
      <c r="A4" s="1">
        <v>42705</v>
      </c>
      <c r="B4">
        <v>2</v>
      </c>
      <c r="C4" t="s">
        <v>7</v>
      </c>
      <c r="D4" t="s">
        <v>8</v>
      </c>
      <c r="E4">
        <v>350</v>
      </c>
    </row>
    <row r="5" spans="1:5" x14ac:dyDescent="0.2">
      <c r="A5" s="1">
        <v>42706</v>
      </c>
      <c r="B5">
        <v>2</v>
      </c>
      <c r="C5" t="s">
        <v>7</v>
      </c>
      <c r="D5" t="s">
        <v>8</v>
      </c>
      <c r="E5">
        <v>250</v>
      </c>
    </row>
    <row r="6" spans="1:5" x14ac:dyDescent="0.2">
      <c r="A6" s="1">
        <v>42705</v>
      </c>
      <c r="B6">
        <v>3</v>
      </c>
      <c r="C6" t="s">
        <v>9</v>
      </c>
      <c r="D6" t="s">
        <v>10</v>
      </c>
      <c r="E6">
        <v>450</v>
      </c>
    </row>
    <row r="7" spans="1:5" x14ac:dyDescent="0.2">
      <c r="A7" s="1">
        <v>42706</v>
      </c>
      <c r="B7">
        <v>3</v>
      </c>
      <c r="C7" t="s">
        <v>9</v>
      </c>
      <c r="D7" t="s">
        <v>10</v>
      </c>
      <c r="E7">
        <v>250</v>
      </c>
    </row>
    <row r="8" spans="1:5" x14ac:dyDescent="0.2">
      <c r="A8" s="1">
        <v>42705</v>
      </c>
      <c r="B8">
        <v>4</v>
      </c>
      <c r="C8" t="s">
        <v>11</v>
      </c>
      <c r="D8" t="s">
        <v>6</v>
      </c>
      <c r="E8">
        <v>250</v>
      </c>
    </row>
    <row r="9" spans="1:5" x14ac:dyDescent="0.2">
      <c r="A9" s="1">
        <v>42706</v>
      </c>
      <c r="B9">
        <v>4</v>
      </c>
      <c r="C9" t="s">
        <v>11</v>
      </c>
      <c r="D9" t="s">
        <v>6</v>
      </c>
      <c r="E9">
        <v>350</v>
      </c>
    </row>
    <row r="10" spans="1:5" x14ac:dyDescent="0.2">
      <c r="A10" s="1">
        <v>42705</v>
      </c>
      <c r="B10">
        <v>5</v>
      </c>
      <c r="C10" t="s">
        <v>12</v>
      </c>
      <c r="D10" t="s">
        <v>10</v>
      </c>
      <c r="E10">
        <v>120</v>
      </c>
    </row>
    <row r="11" spans="1:5" x14ac:dyDescent="0.2">
      <c r="A11" s="1">
        <v>42706</v>
      </c>
      <c r="B11">
        <v>5</v>
      </c>
      <c r="C11" t="s">
        <v>12</v>
      </c>
      <c r="D11" t="s">
        <v>10</v>
      </c>
      <c r="E11">
        <v>120</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1"/>
  <sheetViews>
    <sheetView zoomScale="145" zoomScaleNormal="145" workbookViewId="0">
      <selection activeCell="D12" sqref="D12"/>
    </sheetView>
  </sheetViews>
  <sheetFormatPr defaultRowHeight="14.25" x14ac:dyDescent="0.2"/>
  <cols>
    <col min="1" max="1" width="11.875" customWidth="1"/>
    <col min="2" max="2" width="7.5" customWidth="1"/>
    <col min="3" max="3" width="14.625" customWidth="1"/>
    <col min="4" max="4" width="23.5" customWidth="1"/>
    <col min="5" max="5" width="8.5" customWidth="1"/>
  </cols>
  <sheetData>
    <row r="1" spans="1:11" x14ac:dyDescent="0.2">
      <c r="A1" s="5" t="s">
        <v>0</v>
      </c>
      <c r="B1" s="5" t="s">
        <v>1</v>
      </c>
      <c r="C1" s="5" t="s">
        <v>2</v>
      </c>
      <c r="D1" s="5" t="s">
        <v>3</v>
      </c>
      <c r="E1" s="5" t="s">
        <v>4</v>
      </c>
      <c r="F1" s="5" t="s">
        <v>17</v>
      </c>
      <c r="G1" s="5" t="s">
        <v>18</v>
      </c>
      <c r="I1">
        <v>1</v>
      </c>
    </row>
    <row r="2" spans="1:11" x14ac:dyDescent="0.2">
      <c r="A2" s="6">
        <v>42705</v>
      </c>
      <c r="B2" s="5">
        <v>1</v>
      </c>
      <c r="C2" s="5" t="s">
        <v>5</v>
      </c>
      <c r="D2" s="5" t="s">
        <v>6</v>
      </c>
      <c r="E2" s="5">
        <v>100</v>
      </c>
      <c r="F2" s="5">
        <v>25</v>
      </c>
      <c r="G2" s="5">
        <f>E2*F2</f>
        <v>2500</v>
      </c>
      <c r="I2">
        <v>1</v>
      </c>
    </row>
    <row r="3" spans="1:11" x14ac:dyDescent="0.2">
      <c r="A3" s="6">
        <v>42706</v>
      </c>
      <c r="B3" s="5">
        <v>1</v>
      </c>
      <c r="C3" s="5" t="s">
        <v>5</v>
      </c>
      <c r="D3" s="5" t="s">
        <v>6</v>
      </c>
      <c r="E3" s="5">
        <v>350</v>
      </c>
      <c r="F3" s="5">
        <v>30</v>
      </c>
      <c r="G3" s="5">
        <f t="shared" ref="G3:G6" si="0">E3*F3</f>
        <v>10500</v>
      </c>
      <c r="I3">
        <v>1</v>
      </c>
    </row>
    <row r="4" spans="1:11" x14ac:dyDescent="0.2">
      <c r="A4" s="6">
        <v>42705</v>
      </c>
      <c r="B4" s="5">
        <v>2</v>
      </c>
      <c r="C4" s="5" t="s">
        <v>7</v>
      </c>
      <c r="D4" s="5" t="s">
        <v>8</v>
      </c>
      <c r="E4" s="5">
        <v>350</v>
      </c>
      <c r="F4" s="5">
        <v>35</v>
      </c>
      <c r="G4" s="5">
        <f t="shared" si="0"/>
        <v>12250</v>
      </c>
      <c r="H4">
        <v>1</v>
      </c>
      <c r="I4">
        <v>1</v>
      </c>
      <c r="J4">
        <v>1</v>
      </c>
      <c r="K4">
        <v>1</v>
      </c>
    </row>
    <row r="5" spans="1:11" x14ac:dyDescent="0.2">
      <c r="A5" s="6">
        <v>42706</v>
      </c>
      <c r="B5" s="5">
        <v>2</v>
      </c>
      <c r="C5" s="5" t="s">
        <v>7</v>
      </c>
      <c r="D5" s="5" t="s">
        <v>8</v>
      </c>
      <c r="E5" s="5">
        <v>250</v>
      </c>
      <c r="F5" s="5">
        <v>40</v>
      </c>
      <c r="G5" s="5">
        <f t="shared" si="0"/>
        <v>10000</v>
      </c>
      <c r="I5">
        <v>2</v>
      </c>
    </row>
    <row r="6" spans="1:11" x14ac:dyDescent="0.2">
      <c r="A6" s="6">
        <v>42705</v>
      </c>
      <c r="B6" s="5">
        <v>3</v>
      </c>
      <c r="C6" s="5" t="s">
        <v>9</v>
      </c>
      <c r="D6" s="5" t="s">
        <v>10</v>
      </c>
      <c r="E6" s="5">
        <v>450</v>
      </c>
      <c r="F6" s="5">
        <v>45</v>
      </c>
      <c r="G6" s="5">
        <f t="shared" si="0"/>
        <v>20250</v>
      </c>
      <c r="I6">
        <v>3</v>
      </c>
    </row>
    <row r="7" spans="1:11" x14ac:dyDescent="0.2">
      <c r="I7">
        <v>4</v>
      </c>
    </row>
    <row r="8" spans="1:11" x14ac:dyDescent="0.2">
      <c r="I8">
        <v>5</v>
      </c>
    </row>
    <row r="9" spans="1:11" x14ac:dyDescent="0.2">
      <c r="D9" t="s">
        <v>19</v>
      </c>
      <c r="I9">
        <v>6</v>
      </c>
    </row>
    <row r="10" spans="1:11" x14ac:dyDescent="0.2">
      <c r="I10">
        <v>7</v>
      </c>
    </row>
    <row r="11" spans="1:11" x14ac:dyDescent="0.2">
      <c r="I11">
        <v>8</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1"/>
  <sheetViews>
    <sheetView zoomScale="145" zoomScaleNormal="145" workbookViewId="0"/>
  </sheetViews>
  <sheetFormatPr defaultRowHeight="14.25" x14ac:dyDescent="0.2"/>
  <cols>
    <col min="1" max="1" width="11.875" customWidth="1"/>
    <col min="2" max="2" width="7.5" customWidth="1"/>
    <col min="3" max="3" width="14.625" customWidth="1"/>
    <col min="4" max="4" width="23.5" customWidth="1"/>
    <col min="5" max="5" width="8.5" customWidth="1"/>
  </cols>
  <sheetData>
    <row r="1" spans="1:11" x14ac:dyDescent="0.2">
      <c r="A1" s="5" t="s">
        <v>0</v>
      </c>
      <c r="B1" s="5" t="s">
        <v>1</v>
      </c>
      <c r="C1" s="5" t="s">
        <v>2</v>
      </c>
      <c r="D1" s="5" t="s">
        <v>3</v>
      </c>
      <c r="E1" s="5" t="s">
        <v>4</v>
      </c>
      <c r="F1" s="5" t="s">
        <v>17</v>
      </c>
      <c r="G1" s="5" t="s">
        <v>18</v>
      </c>
      <c r="I1">
        <v>1</v>
      </c>
    </row>
    <row r="2" spans="1:11" x14ac:dyDescent="0.2">
      <c r="A2" s="6">
        <v>42705</v>
      </c>
      <c r="B2" s="5">
        <v>1</v>
      </c>
      <c r="C2" s="5" t="s">
        <v>5</v>
      </c>
      <c r="D2" s="5" t="s">
        <v>6</v>
      </c>
      <c r="E2" s="5">
        <v>100</v>
      </c>
      <c r="F2" s="5">
        <v>25</v>
      </c>
      <c r="G2" s="5">
        <f>E2*F2</f>
        <v>2500</v>
      </c>
      <c r="I2">
        <v>1</v>
      </c>
    </row>
    <row r="3" spans="1:11" x14ac:dyDescent="0.2">
      <c r="A3" s="6">
        <v>42706</v>
      </c>
      <c r="B3" s="5">
        <v>1</v>
      </c>
      <c r="C3" s="5" t="s">
        <v>5</v>
      </c>
      <c r="D3" s="5" t="s">
        <v>6</v>
      </c>
      <c r="E3" s="5">
        <v>350</v>
      </c>
      <c r="F3" s="5">
        <v>30</v>
      </c>
      <c r="G3" s="5">
        <f t="shared" ref="G3:G6" si="0">E3*F3</f>
        <v>10500</v>
      </c>
      <c r="I3">
        <v>1</v>
      </c>
    </row>
    <row r="4" spans="1:11" x14ac:dyDescent="0.2">
      <c r="A4" s="6">
        <v>42705</v>
      </c>
      <c r="B4" s="5">
        <v>2</v>
      </c>
      <c r="C4" s="5" t="s">
        <v>7</v>
      </c>
      <c r="D4" s="5" t="s">
        <v>8</v>
      </c>
      <c r="E4" s="5">
        <v>350</v>
      </c>
      <c r="F4" s="5">
        <v>35</v>
      </c>
      <c r="G4" s="5">
        <f t="shared" si="0"/>
        <v>12250</v>
      </c>
      <c r="H4">
        <v>1</v>
      </c>
      <c r="I4">
        <v>1</v>
      </c>
      <c r="J4">
        <v>1</v>
      </c>
      <c r="K4">
        <v>1</v>
      </c>
    </row>
    <row r="5" spans="1:11" x14ac:dyDescent="0.2">
      <c r="A5" s="6">
        <v>42706</v>
      </c>
      <c r="B5" s="5">
        <v>2</v>
      </c>
      <c r="C5" s="5" t="s">
        <v>7</v>
      </c>
      <c r="D5" s="5" t="s">
        <v>8</v>
      </c>
      <c r="E5" s="5">
        <v>250</v>
      </c>
      <c r="F5" s="5">
        <v>40</v>
      </c>
      <c r="G5" s="5">
        <f t="shared" si="0"/>
        <v>10000</v>
      </c>
      <c r="I5">
        <v>2</v>
      </c>
    </row>
    <row r="6" spans="1:11" x14ac:dyDescent="0.2">
      <c r="A6" s="6">
        <v>42705</v>
      </c>
      <c r="B6" s="5">
        <v>3</v>
      </c>
      <c r="C6" s="5" t="s">
        <v>9</v>
      </c>
      <c r="D6" s="5" t="s">
        <v>10</v>
      </c>
      <c r="E6" s="5">
        <v>450</v>
      </c>
      <c r="F6" s="5">
        <v>45</v>
      </c>
      <c r="G6" s="5">
        <f t="shared" si="0"/>
        <v>20250</v>
      </c>
      <c r="I6">
        <v>3</v>
      </c>
    </row>
    <row r="7" spans="1:11" x14ac:dyDescent="0.2">
      <c r="I7">
        <v>4</v>
      </c>
    </row>
    <row r="8" spans="1:11" x14ac:dyDescent="0.2">
      <c r="I8">
        <v>5</v>
      </c>
    </row>
    <row r="9" spans="1:11" x14ac:dyDescent="0.2">
      <c r="D9" t="s">
        <v>19</v>
      </c>
      <c r="I9">
        <v>6</v>
      </c>
    </row>
    <row r="10" spans="1:11" x14ac:dyDescent="0.2">
      <c r="I10">
        <v>7</v>
      </c>
    </row>
    <row r="11" spans="1:11" x14ac:dyDescent="0.2">
      <c r="I11">
        <v>8</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1"/>
  <sheetViews>
    <sheetView zoomScale="145" zoomScaleNormal="145" workbookViewId="0">
      <selection activeCell="D7" sqref="D7"/>
    </sheetView>
  </sheetViews>
  <sheetFormatPr defaultRowHeight="14.25" x14ac:dyDescent="0.2"/>
  <cols>
    <col min="1" max="1" width="10.625" customWidth="1"/>
    <col min="2" max="2" width="6.375" customWidth="1"/>
    <col min="3" max="3" width="13.625" customWidth="1"/>
    <col min="4" max="4" width="19.5" customWidth="1"/>
    <col min="5" max="5" width="7.375" customWidth="1"/>
    <col min="6" max="6" width="5.5" customWidth="1"/>
    <col min="7" max="7" width="6.5" customWidth="1"/>
    <col min="8" max="11" width="1.875" customWidth="1"/>
  </cols>
  <sheetData>
    <row r="1" spans="1:11" x14ac:dyDescent="0.2">
      <c r="A1" s="5" t="s">
        <v>0</v>
      </c>
      <c r="B1" s="5" t="s">
        <v>1</v>
      </c>
      <c r="C1" s="5" t="s">
        <v>2</v>
      </c>
      <c r="D1" s="5" t="s">
        <v>3</v>
      </c>
      <c r="E1" s="5" t="s">
        <v>4</v>
      </c>
      <c r="F1" s="5" t="s">
        <v>17</v>
      </c>
      <c r="G1" s="5" t="s">
        <v>18</v>
      </c>
      <c r="I1">
        <v>1</v>
      </c>
    </row>
    <row r="2" spans="1:11" x14ac:dyDescent="0.2">
      <c r="A2" s="6">
        <v>42705</v>
      </c>
      <c r="B2" s="5">
        <v>1</v>
      </c>
      <c r="C2" s="5" t="s">
        <v>5</v>
      </c>
      <c r="D2" s="5" t="s">
        <v>6</v>
      </c>
      <c r="E2" s="5">
        <v>100</v>
      </c>
      <c r="F2" s="5">
        <v>25</v>
      </c>
      <c r="G2" s="5">
        <f>E2*F2</f>
        <v>2500</v>
      </c>
      <c r="I2">
        <v>1</v>
      </c>
    </row>
    <row r="3" spans="1:11" x14ac:dyDescent="0.2">
      <c r="A3" s="6">
        <v>42706</v>
      </c>
      <c r="B3" s="5">
        <v>1</v>
      </c>
      <c r="C3" s="5" t="s">
        <v>5</v>
      </c>
      <c r="D3" s="5" t="s">
        <v>6</v>
      </c>
      <c r="E3" s="5">
        <v>350</v>
      </c>
      <c r="F3" s="5">
        <v>30</v>
      </c>
      <c r="G3" s="5">
        <f t="shared" ref="G3:G6" si="0">E3*F3</f>
        <v>10500</v>
      </c>
      <c r="I3">
        <v>1</v>
      </c>
    </row>
    <row r="4" spans="1:11" x14ac:dyDescent="0.2">
      <c r="A4" s="6">
        <v>42705</v>
      </c>
      <c r="B4" s="5">
        <v>2</v>
      </c>
      <c r="C4" s="5" t="s">
        <v>7</v>
      </c>
      <c r="D4" s="5" t="s">
        <v>8</v>
      </c>
      <c r="E4" s="5">
        <v>350</v>
      </c>
      <c r="F4" s="5">
        <v>35</v>
      </c>
      <c r="G4" s="5">
        <f t="shared" si="0"/>
        <v>12250</v>
      </c>
      <c r="H4">
        <v>1</v>
      </c>
      <c r="I4">
        <v>1</v>
      </c>
      <c r="J4">
        <v>1</v>
      </c>
      <c r="K4">
        <v>1</v>
      </c>
    </row>
    <row r="5" spans="1:11" x14ac:dyDescent="0.2">
      <c r="A5" s="6">
        <v>42706</v>
      </c>
      <c r="B5" s="5">
        <v>2</v>
      </c>
      <c r="C5" s="5" t="s">
        <v>7</v>
      </c>
      <c r="D5" s="5" t="s">
        <v>8</v>
      </c>
      <c r="E5" s="5">
        <v>250</v>
      </c>
      <c r="F5" s="5">
        <v>40</v>
      </c>
      <c r="G5" s="5">
        <f t="shared" si="0"/>
        <v>10000</v>
      </c>
      <c r="I5">
        <v>2</v>
      </c>
    </row>
    <row r="6" spans="1:11" x14ac:dyDescent="0.2">
      <c r="A6" s="6">
        <v>42705</v>
      </c>
      <c r="B6" s="5">
        <v>3</v>
      </c>
      <c r="C6" s="5" t="s">
        <v>9</v>
      </c>
      <c r="D6" s="5" t="s">
        <v>10</v>
      </c>
      <c r="E6" s="5">
        <v>450</v>
      </c>
      <c r="F6" s="5">
        <v>45</v>
      </c>
      <c r="G6" s="5">
        <f t="shared" si="0"/>
        <v>20250</v>
      </c>
      <c r="I6">
        <v>3</v>
      </c>
    </row>
    <row r="7" spans="1:11" x14ac:dyDescent="0.2">
      <c r="I7">
        <v>4</v>
      </c>
    </row>
    <row r="8" spans="1:11" x14ac:dyDescent="0.2">
      <c r="I8">
        <v>5</v>
      </c>
    </row>
    <row r="9" spans="1:11" x14ac:dyDescent="0.2">
      <c r="D9" t="s">
        <v>19</v>
      </c>
      <c r="I9">
        <v>6</v>
      </c>
    </row>
    <row r="10" spans="1:11" x14ac:dyDescent="0.2">
      <c r="I10">
        <v>7</v>
      </c>
    </row>
    <row r="11" spans="1:11" x14ac:dyDescent="0.2">
      <c r="I11">
        <v>8</v>
      </c>
    </row>
  </sheetData>
  <pageMargins left="0.7" right="0.7" top="0.75" bottom="0.75" header="0.3" footer="0.3"/>
  <pageSetup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zoomScale="145" zoomScaleNormal="145" workbookViewId="0">
      <selection activeCell="D15" sqref="D15"/>
    </sheetView>
  </sheetViews>
  <sheetFormatPr defaultRowHeight="14.25" x14ac:dyDescent="0.2"/>
  <cols>
    <col min="1" max="1" width="11.625" customWidth="1"/>
    <col min="2" max="2" width="9.75" customWidth="1"/>
    <col min="3" max="3" width="10.25" customWidth="1"/>
    <col min="4" max="4" width="9.75" customWidth="1"/>
  </cols>
  <sheetData>
    <row r="1" spans="1:5" x14ac:dyDescent="0.2">
      <c r="A1" s="8" t="s">
        <v>1</v>
      </c>
      <c r="B1" s="8" t="s">
        <v>20</v>
      </c>
      <c r="C1" s="8" t="s">
        <v>21</v>
      </c>
      <c r="D1" s="8" t="s">
        <v>22</v>
      </c>
      <c r="E1" s="8" t="s">
        <v>23</v>
      </c>
    </row>
    <row r="2" spans="1:5" x14ac:dyDescent="0.2">
      <c r="A2">
        <v>1</v>
      </c>
      <c r="B2" t="s">
        <v>5</v>
      </c>
      <c r="C2">
        <v>23</v>
      </c>
      <c r="D2">
        <v>92</v>
      </c>
      <c r="E2">
        <v>61</v>
      </c>
    </row>
    <row r="3" spans="1:5" x14ac:dyDescent="0.2">
      <c r="A3">
        <v>2</v>
      </c>
      <c r="B3" t="s">
        <v>7</v>
      </c>
      <c r="C3">
        <v>98</v>
      </c>
      <c r="D3">
        <v>45</v>
      </c>
      <c r="E3">
        <v>58</v>
      </c>
    </row>
    <row r="4" spans="1:5" x14ac:dyDescent="0.2">
      <c r="A4">
        <v>3</v>
      </c>
      <c r="B4" t="s">
        <v>9</v>
      </c>
      <c r="C4">
        <v>80</v>
      </c>
      <c r="D4">
        <v>65</v>
      </c>
      <c r="E4">
        <v>87</v>
      </c>
    </row>
    <row r="5" spans="1:5" x14ac:dyDescent="0.2">
      <c r="A5">
        <v>4</v>
      </c>
      <c r="B5" t="s">
        <v>11</v>
      </c>
      <c r="C5">
        <v>50</v>
      </c>
      <c r="D5">
        <v>59</v>
      </c>
      <c r="E5">
        <v>67</v>
      </c>
    </row>
    <row r="6" spans="1:5" x14ac:dyDescent="0.2">
      <c r="A6">
        <v>5</v>
      </c>
      <c r="B6" t="s">
        <v>12</v>
      </c>
      <c r="C6">
        <v>34</v>
      </c>
      <c r="D6">
        <v>50</v>
      </c>
      <c r="E6">
        <v>27</v>
      </c>
    </row>
    <row r="10" spans="1:5" x14ac:dyDescent="0.2">
      <c r="A10" s="7" t="s">
        <v>24</v>
      </c>
    </row>
    <row r="11" spans="1:5" x14ac:dyDescent="0.2">
      <c r="A11" s="7" t="s">
        <v>25</v>
      </c>
      <c r="B11" s="7" t="s">
        <v>26</v>
      </c>
    </row>
    <row r="12" spans="1:5" x14ac:dyDescent="0.2">
      <c r="A12" t="s">
        <v>27</v>
      </c>
      <c r="B12">
        <v>45</v>
      </c>
    </row>
    <row r="13" spans="1:5" x14ac:dyDescent="0.2">
      <c r="A13" t="s">
        <v>28</v>
      </c>
      <c r="B13">
        <v>65</v>
      </c>
    </row>
    <row r="14" spans="1:5" x14ac:dyDescent="0.2">
      <c r="A14" t="s">
        <v>29</v>
      </c>
      <c r="B14">
        <v>36</v>
      </c>
    </row>
    <row r="15" spans="1:5" x14ac:dyDescent="0.2">
      <c r="A15" t="s">
        <v>30</v>
      </c>
      <c r="B15">
        <v>98</v>
      </c>
    </row>
  </sheetData>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5"/>
  <sheetViews>
    <sheetView zoomScale="145" zoomScaleNormal="145" workbookViewId="0">
      <selection activeCell="B15" sqref="B15"/>
    </sheetView>
  </sheetViews>
  <sheetFormatPr defaultRowHeight="14.25" x14ac:dyDescent="0.2"/>
  <cols>
    <col min="1" max="1" width="11.625" customWidth="1"/>
    <col min="2" max="2" width="9.75" customWidth="1"/>
    <col min="3" max="3" width="10.25" customWidth="1"/>
    <col min="4" max="4" width="9.75" customWidth="1"/>
    <col min="5" max="5" width="7.5" customWidth="1"/>
  </cols>
  <sheetData>
    <row r="1" spans="1:5" x14ac:dyDescent="0.2">
      <c r="A1" s="8" t="s">
        <v>1</v>
      </c>
      <c r="B1" s="8" t="s">
        <v>20</v>
      </c>
      <c r="C1" s="8" t="s">
        <v>21</v>
      </c>
      <c r="D1" s="8" t="s">
        <v>22</v>
      </c>
      <c r="E1" s="8" t="s">
        <v>23</v>
      </c>
    </row>
    <row r="2" spans="1:5" x14ac:dyDescent="0.2">
      <c r="A2">
        <v>1</v>
      </c>
      <c r="B2" t="s">
        <v>5</v>
      </c>
      <c r="C2">
        <v>23</v>
      </c>
      <c r="D2">
        <v>92</v>
      </c>
      <c r="E2">
        <v>61</v>
      </c>
    </row>
    <row r="3" spans="1:5" x14ac:dyDescent="0.2">
      <c r="A3">
        <v>2</v>
      </c>
      <c r="B3" t="s">
        <v>7</v>
      </c>
      <c r="C3">
        <v>98</v>
      </c>
      <c r="D3">
        <v>45</v>
      </c>
      <c r="E3">
        <v>58</v>
      </c>
    </row>
    <row r="4" spans="1:5" x14ac:dyDescent="0.2">
      <c r="A4">
        <v>3</v>
      </c>
      <c r="B4" t="s">
        <v>9</v>
      </c>
      <c r="C4">
        <v>80</v>
      </c>
      <c r="D4">
        <v>65</v>
      </c>
      <c r="E4">
        <v>87</v>
      </c>
    </row>
    <row r="5" spans="1:5" x14ac:dyDescent="0.2">
      <c r="A5">
        <v>4</v>
      </c>
      <c r="B5" t="s">
        <v>11</v>
      </c>
      <c r="C5">
        <v>50</v>
      </c>
      <c r="D5">
        <v>59</v>
      </c>
      <c r="E5">
        <v>67</v>
      </c>
    </row>
    <row r="6" spans="1:5" x14ac:dyDescent="0.2">
      <c r="A6">
        <v>5</v>
      </c>
      <c r="B6" t="s">
        <v>12</v>
      </c>
      <c r="C6">
        <v>34</v>
      </c>
      <c r="D6">
        <v>50</v>
      </c>
      <c r="E6">
        <v>27</v>
      </c>
    </row>
    <row r="10" spans="1:5" x14ac:dyDescent="0.2">
      <c r="A10" s="7" t="s">
        <v>24</v>
      </c>
    </row>
    <row r="11" spans="1:5" x14ac:dyDescent="0.2">
      <c r="A11" s="7" t="s">
        <v>25</v>
      </c>
      <c r="B11" s="7" t="s">
        <v>26</v>
      </c>
      <c r="D11">
        <f>MAX(B12:B15)</f>
        <v>99</v>
      </c>
    </row>
    <row r="12" spans="1:5" x14ac:dyDescent="0.2">
      <c r="A12" t="s">
        <v>27</v>
      </c>
      <c r="B12">
        <v>52</v>
      </c>
    </row>
    <row r="13" spans="1:5" x14ac:dyDescent="0.2">
      <c r="A13" t="s">
        <v>28</v>
      </c>
      <c r="B13">
        <v>65</v>
      </c>
    </row>
    <row r="14" spans="1:5" x14ac:dyDescent="0.2">
      <c r="A14" t="s">
        <v>29</v>
      </c>
      <c r="B14">
        <v>99</v>
      </c>
    </row>
    <row r="15" spans="1:5" x14ac:dyDescent="0.2">
      <c r="A15" t="s">
        <v>30</v>
      </c>
      <c r="B15">
        <v>98</v>
      </c>
    </row>
  </sheetData>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1"/>
  <sheetViews>
    <sheetView zoomScale="115" zoomScaleNormal="115" workbookViewId="0">
      <selection sqref="A1:K11"/>
    </sheetView>
  </sheetViews>
  <sheetFormatPr defaultRowHeight="14.25" x14ac:dyDescent="0.2"/>
  <cols>
    <col min="1" max="1" width="13.625" customWidth="1"/>
    <col min="2" max="10" width="5.375" customWidth="1"/>
    <col min="11" max="11" width="6.5" customWidth="1"/>
    <col min="12" max="12" width="11" customWidth="1"/>
    <col min="13" max="13" width="14.25" customWidth="1"/>
  </cols>
  <sheetData>
    <row r="1" spans="1:14" x14ac:dyDescent="0.2">
      <c r="A1" t="s">
        <v>2</v>
      </c>
      <c r="B1" t="s">
        <v>31</v>
      </c>
      <c r="C1" t="s">
        <v>32</v>
      </c>
      <c r="D1" t="s">
        <v>33</v>
      </c>
      <c r="E1" t="s">
        <v>34</v>
      </c>
      <c r="F1" t="s">
        <v>35</v>
      </c>
      <c r="G1" t="s">
        <v>36</v>
      </c>
      <c r="H1" t="s">
        <v>37</v>
      </c>
      <c r="I1" t="s">
        <v>38</v>
      </c>
      <c r="J1" t="s">
        <v>39</v>
      </c>
      <c r="K1" t="s">
        <v>41</v>
      </c>
      <c r="L1" t="s">
        <v>42</v>
      </c>
      <c r="M1" t="s">
        <v>40</v>
      </c>
      <c r="N1" t="s">
        <v>43</v>
      </c>
    </row>
    <row r="2" spans="1:14" x14ac:dyDescent="0.2">
      <c r="A2" t="s">
        <v>5</v>
      </c>
      <c r="B2">
        <v>-100</v>
      </c>
      <c r="C2">
        <v>100</v>
      </c>
      <c r="D2">
        <v>-100</v>
      </c>
      <c r="E2">
        <v>100</v>
      </c>
      <c r="F2">
        <v>-100</v>
      </c>
      <c r="G2">
        <v>100</v>
      </c>
      <c r="H2">
        <v>-100</v>
      </c>
      <c r="I2">
        <v>100</v>
      </c>
      <c r="J2">
        <v>-100</v>
      </c>
      <c r="K2">
        <v>100</v>
      </c>
    </row>
    <row r="3" spans="1:14" x14ac:dyDescent="0.2">
      <c r="A3" t="s">
        <v>5</v>
      </c>
      <c r="B3">
        <v>12</v>
      </c>
      <c r="C3">
        <v>51</v>
      </c>
      <c r="D3">
        <v>90</v>
      </c>
      <c r="E3">
        <v>84</v>
      </c>
      <c r="F3">
        <v>67</v>
      </c>
      <c r="G3">
        <v>66</v>
      </c>
      <c r="H3">
        <v>35</v>
      </c>
      <c r="I3">
        <v>30</v>
      </c>
      <c r="J3">
        <v>68</v>
      </c>
      <c r="K3">
        <v>32</v>
      </c>
    </row>
    <row r="4" spans="1:14" x14ac:dyDescent="0.2">
      <c r="A4" t="s">
        <v>7</v>
      </c>
      <c r="B4">
        <v>36</v>
      </c>
      <c r="C4">
        <v>52</v>
      </c>
      <c r="D4">
        <v>51</v>
      </c>
      <c r="E4">
        <v>63</v>
      </c>
      <c r="F4">
        <v>16</v>
      </c>
      <c r="G4">
        <v>60</v>
      </c>
      <c r="H4">
        <v>20</v>
      </c>
      <c r="I4">
        <v>77</v>
      </c>
      <c r="J4">
        <v>72</v>
      </c>
      <c r="K4">
        <v>28</v>
      </c>
    </row>
    <row r="5" spans="1:14" x14ac:dyDescent="0.2">
      <c r="A5" t="s">
        <v>7</v>
      </c>
      <c r="B5">
        <v>43</v>
      </c>
      <c r="C5">
        <v>86</v>
      </c>
      <c r="D5">
        <v>87</v>
      </c>
      <c r="E5">
        <v>16</v>
      </c>
      <c r="F5">
        <v>38</v>
      </c>
      <c r="G5">
        <v>48</v>
      </c>
      <c r="H5">
        <v>29</v>
      </c>
      <c r="I5">
        <v>72</v>
      </c>
      <c r="J5">
        <v>63</v>
      </c>
      <c r="K5">
        <v>89</v>
      </c>
    </row>
    <row r="6" spans="1:14" x14ac:dyDescent="0.2">
      <c r="A6" t="s">
        <v>9</v>
      </c>
      <c r="B6">
        <v>56</v>
      </c>
      <c r="C6">
        <v>51</v>
      </c>
      <c r="D6">
        <v>57</v>
      </c>
      <c r="E6">
        <v>62</v>
      </c>
      <c r="F6">
        <v>72</v>
      </c>
      <c r="G6">
        <v>48</v>
      </c>
      <c r="H6">
        <v>33</v>
      </c>
      <c r="I6">
        <v>47</v>
      </c>
      <c r="J6">
        <v>39</v>
      </c>
      <c r="K6">
        <v>12</v>
      </c>
    </row>
    <row r="7" spans="1:14" x14ac:dyDescent="0.2">
      <c r="A7" t="s">
        <v>9</v>
      </c>
      <c r="B7">
        <v>59</v>
      </c>
      <c r="C7">
        <v>28</v>
      </c>
      <c r="D7">
        <v>84</v>
      </c>
      <c r="E7">
        <v>47</v>
      </c>
      <c r="F7">
        <v>62</v>
      </c>
      <c r="G7">
        <v>13</v>
      </c>
      <c r="H7">
        <v>-25</v>
      </c>
      <c r="I7">
        <v>27</v>
      </c>
      <c r="J7">
        <v>73</v>
      </c>
      <c r="K7">
        <v>21</v>
      </c>
    </row>
    <row r="8" spans="1:14" x14ac:dyDescent="0.2">
      <c r="A8" t="s">
        <v>11</v>
      </c>
      <c r="B8">
        <v>68</v>
      </c>
      <c r="C8">
        <v>33</v>
      </c>
      <c r="D8">
        <v>75</v>
      </c>
      <c r="E8">
        <v>14</v>
      </c>
      <c r="F8">
        <v>15</v>
      </c>
      <c r="G8">
        <v>67</v>
      </c>
      <c r="H8">
        <v>39</v>
      </c>
      <c r="I8">
        <v>70</v>
      </c>
      <c r="J8">
        <v>84</v>
      </c>
      <c r="K8">
        <v>21</v>
      </c>
    </row>
    <row r="9" spans="1:14" x14ac:dyDescent="0.2">
      <c r="A9" t="s">
        <v>11</v>
      </c>
      <c r="B9">
        <v>21</v>
      </c>
      <c r="C9">
        <v>66</v>
      </c>
      <c r="D9">
        <v>81</v>
      </c>
      <c r="E9">
        <v>80</v>
      </c>
      <c r="F9">
        <v>48</v>
      </c>
      <c r="G9">
        <v>28</v>
      </c>
      <c r="H9">
        <v>25</v>
      </c>
      <c r="I9">
        <v>57</v>
      </c>
      <c r="J9">
        <v>69</v>
      </c>
      <c r="K9">
        <v>62</v>
      </c>
    </row>
    <row r="10" spans="1:14" x14ac:dyDescent="0.2">
      <c r="A10" t="s">
        <v>12</v>
      </c>
      <c r="B10">
        <v>68</v>
      </c>
      <c r="C10">
        <v>37</v>
      </c>
      <c r="D10">
        <v>54</v>
      </c>
      <c r="E10">
        <v>50</v>
      </c>
      <c r="F10">
        <v>19</v>
      </c>
      <c r="G10">
        <v>84</v>
      </c>
      <c r="H10">
        <v>58</v>
      </c>
      <c r="I10">
        <v>17</v>
      </c>
      <c r="J10">
        <v>31</v>
      </c>
      <c r="K10">
        <v>12</v>
      </c>
    </row>
    <row r="11" spans="1:14" x14ac:dyDescent="0.2">
      <c r="A11" t="s">
        <v>12</v>
      </c>
      <c r="B11">
        <v>47</v>
      </c>
      <c r="C11">
        <v>83</v>
      </c>
      <c r="D11">
        <v>29</v>
      </c>
      <c r="E11">
        <v>89</v>
      </c>
      <c r="F11">
        <v>59</v>
      </c>
      <c r="G11">
        <v>63</v>
      </c>
      <c r="H11">
        <v>88</v>
      </c>
      <c r="I11">
        <v>30</v>
      </c>
      <c r="J11">
        <v>28</v>
      </c>
      <c r="K11">
        <v>59</v>
      </c>
    </row>
  </sheetData>
  <pageMargins left="0.7" right="0.7" top="0.75" bottom="0.75" header="0.3" footer="0.3"/>
  <pageSetup orientation="portrait" verticalDpi="0" r:id="rId1"/>
  <extLst>
    <ext xmlns:x14="http://schemas.microsoft.com/office/spreadsheetml/2009/9/main" uri="{05C60535-1F16-4fd2-B633-F4F36F0B64E0}">
      <x14:sparklineGroups xmlns:xm="http://schemas.microsoft.com/office/excel/2006/main">
        <x14:sparklineGroup type="stacked" displayEmptyCellsAs="gap" negative="1">
          <x14:colorSeries rgb="FF376092"/>
          <x14:colorNegative rgb="FFD00000"/>
          <x14:colorAxis rgb="FF000000"/>
          <x14:colorMarkers rgb="FFD00000"/>
          <x14:colorFirst rgb="FFD00000"/>
          <x14:colorLast rgb="FFD00000"/>
          <x14:colorHigh rgb="FFD00000"/>
          <x14:colorLow rgb="FFD00000"/>
          <x14:sparklines>
            <x14:sparkline>
              <xm:f>'PART 44'!B2:K2</xm:f>
              <xm:sqref>N2</xm:sqref>
            </x14:sparkline>
            <x14:sparkline>
              <xm:f>'PART 44'!B3:K3</xm:f>
              <xm:sqref>N3</xm:sqref>
            </x14:sparkline>
            <x14:sparkline>
              <xm:f>'PART 44'!B4:K4</xm:f>
              <xm:sqref>N4</xm:sqref>
            </x14:sparkline>
            <x14:sparkline>
              <xm:f>'PART 44'!B5:K5</xm:f>
              <xm:sqref>N5</xm:sqref>
            </x14:sparkline>
            <x14:sparkline>
              <xm:f>'PART 44'!B6:K6</xm:f>
              <xm:sqref>N6</xm:sqref>
            </x14:sparkline>
            <x14:sparkline>
              <xm:f>'PART 44'!B7:K7</xm:f>
              <xm:sqref>N7</xm:sqref>
            </x14:sparkline>
            <x14:sparkline>
              <xm:f>'PART 44'!B8:K8</xm:f>
              <xm:sqref>N8</xm:sqref>
            </x14:sparkline>
            <x14:sparkline>
              <xm:f>'PART 44'!B9:K9</xm:f>
              <xm:sqref>N9</xm:sqref>
            </x14:sparkline>
            <x14:sparkline>
              <xm:f>'PART 44'!B10:K10</xm:f>
              <xm:sqref>N10</xm:sqref>
            </x14:sparkline>
            <x14:sparkline>
              <xm:f>'PART 44'!B11:K11</xm:f>
              <xm:sqref>N11</xm:sqref>
            </x14:sparkline>
          </x14:sparklines>
        </x14:sparklineGroup>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'PART 44'!B2:K2</xm:f>
              <xm:sqref>L2</xm:sqref>
            </x14:sparkline>
            <x14:sparkline>
              <xm:f>'PART 44'!B3:K3</xm:f>
              <xm:sqref>L3</xm:sqref>
            </x14:sparkline>
            <x14:sparkline>
              <xm:f>'PART 44'!B4:K4</xm:f>
              <xm:sqref>L4</xm:sqref>
            </x14:sparkline>
            <x14:sparkline>
              <xm:f>'PART 44'!B5:K5</xm:f>
              <xm:sqref>L5</xm:sqref>
            </x14:sparkline>
            <x14:sparkline>
              <xm:f>'PART 44'!B6:K6</xm:f>
              <xm:sqref>L6</xm:sqref>
            </x14:sparkline>
            <x14:sparkline>
              <xm:f>'PART 44'!B7:K7</xm:f>
              <xm:sqref>L7</xm:sqref>
            </x14:sparkline>
            <x14:sparkline>
              <xm:f>'PART 44'!B8:K8</xm:f>
              <xm:sqref>L8</xm:sqref>
            </x14:sparkline>
            <x14:sparkline>
              <xm:f>'PART 44'!B9:K9</xm:f>
              <xm:sqref>L9</xm:sqref>
            </x14:sparkline>
            <x14:sparkline>
              <xm:f>'PART 44'!B10:K10</xm:f>
              <xm:sqref>L10</xm:sqref>
            </x14:sparkline>
            <x14:sparkline>
              <xm:f>'PART 44'!B11:K11</xm:f>
              <xm:sqref>L11</xm:sqref>
            </x14:sparkline>
          </x14:sparklines>
        </x14:sparklineGroup>
        <x14:sparklineGroup type="column" displayEmptyCellsAs="gap" high="1">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14:sparklines>
            <x14:sparkline>
              <xm:f>'PART 44'!B2:K2</xm:f>
              <xm:sqref>M2</xm:sqref>
            </x14:sparkline>
            <x14:sparkline>
              <xm:f>'PART 44'!B3:K3</xm:f>
              <xm:sqref>M3</xm:sqref>
            </x14:sparkline>
            <x14:sparkline>
              <xm:f>'PART 44'!B4:K4</xm:f>
              <xm:sqref>M4</xm:sqref>
            </x14:sparkline>
            <x14:sparkline>
              <xm:f>'PART 44'!B5:K5</xm:f>
              <xm:sqref>M5</xm:sqref>
            </x14:sparkline>
            <x14:sparkline>
              <xm:f>'PART 44'!B6:K6</xm:f>
              <xm:sqref>M6</xm:sqref>
            </x14:sparkline>
            <x14:sparkline>
              <xm:f>'PART 44'!B7:K7</xm:f>
              <xm:sqref>M7</xm:sqref>
            </x14:sparkline>
            <x14:sparkline>
              <xm:f>'PART 44'!B8:K8</xm:f>
              <xm:sqref>M8</xm:sqref>
            </x14:sparkline>
            <x14:sparkline>
              <xm:f>'PART 44'!B9:K9</xm:f>
              <xm:sqref>M9</xm:sqref>
            </x14:sparkline>
            <x14:sparkline>
              <xm:f>'PART 44'!B10:K10</xm:f>
              <xm:sqref>M10</xm:sqref>
            </x14:sparkline>
            <x14:sparkline>
              <xm:f>'PART 44'!B11:K11</xm:f>
              <xm:sqref>M11</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D2"/>
  <sheetViews>
    <sheetView showGridLines="0" zoomScale="190" zoomScaleNormal="190" workbookViewId="0">
      <selection activeCell="F2" sqref="F2"/>
    </sheetView>
  </sheetViews>
  <sheetFormatPr defaultRowHeight="14.25" x14ac:dyDescent="0.2"/>
  <cols>
    <col min="2" max="2" width="11.25" customWidth="1"/>
    <col min="3" max="3" width="15.625" customWidth="1"/>
  </cols>
  <sheetData>
    <row r="1" spans="2:4" x14ac:dyDescent="0.2">
      <c r="B1" s="20" t="s">
        <v>44</v>
      </c>
      <c r="C1" s="20"/>
      <c r="D1" s="20"/>
    </row>
    <row r="2" spans="2:4" x14ac:dyDescent="0.2">
      <c r="B2" s="9"/>
    </row>
  </sheetData>
  <mergeCells count="1">
    <mergeCell ref="B1:D1"/>
  </mergeCells>
  <pageMargins left="0.7" right="0.7" top="0.75" bottom="0.75" header="0.3" footer="0.3"/>
  <pageSetup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51"/>
  <sheetViews>
    <sheetView view="pageLayout" zoomScaleNormal="160" workbookViewId="0">
      <selection activeCell="F11" sqref="F11"/>
    </sheetView>
  </sheetViews>
  <sheetFormatPr defaultRowHeight="14.25" x14ac:dyDescent="0.2"/>
  <cols>
    <col min="4" max="4" width="19.625" customWidth="1"/>
  </cols>
  <sheetData>
    <row r="1" spans="1:11" x14ac:dyDescent="0.2">
      <c r="B1" t="s">
        <v>17</v>
      </c>
      <c r="C1" t="s">
        <v>4</v>
      </c>
      <c r="D1" t="s">
        <v>18</v>
      </c>
    </row>
    <row r="2" spans="1:11" x14ac:dyDescent="0.2">
      <c r="B2">
        <v>25</v>
      </c>
      <c r="C2">
        <v>250</v>
      </c>
      <c r="D2">
        <f>B2*C2</f>
        <v>6250</v>
      </c>
    </row>
    <row r="5" spans="1:11" ht="26.25" x14ac:dyDescent="0.4">
      <c r="D5" s="10" t="s">
        <v>45</v>
      </c>
    </row>
    <row r="8" spans="1:11" x14ac:dyDescent="0.2">
      <c r="A8" t="s">
        <v>2</v>
      </c>
      <c r="B8" t="s">
        <v>31</v>
      </c>
      <c r="C8" t="s">
        <v>32</v>
      </c>
      <c r="D8" t="s">
        <v>33</v>
      </c>
      <c r="E8" t="s">
        <v>34</v>
      </c>
      <c r="F8" t="s">
        <v>35</v>
      </c>
      <c r="G8" t="s">
        <v>36</v>
      </c>
      <c r="H8" t="s">
        <v>37</v>
      </c>
      <c r="I8" t="s">
        <v>38</v>
      </c>
      <c r="J8" t="s">
        <v>39</v>
      </c>
      <c r="K8" t="s">
        <v>41</v>
      </c>
    </row>
    <row r="9" spans="1:11" x14ac:dyDescent="0.2">
      <c r="A9" t="s">
        <v>5</v>
      </c>
      <c r="B9">
        <v>-100</v>
      </c>
      <c r="C9">
        <v>100</v>
      </c>
      <c r="D9">
        <v>-100</v>
      </c>
      <c r="E9">
        <v>100</v>
      </c>
      <c r="F9">
        <v>-100</v>
      </c>
      <c r="G9">
        <v>100</v>
      </c>
      <c r="H9">
        <v>-100</v>
      </c>
      <c r="I9">
        <v>100</v>
      </c>
      <c r="J9">
        <v>-100</v>
      </c>
      <c r="K9">
        <v>100</v>
      </c>
    </row>
    <row r="10" spans="1:11" x14ac:dyDescent="0.2">
      <c r="A10" t="s">
        <v>5</v>
      </c>
      <c r="B10">
        <v>12</v>
      </c>
      <c r="C10">
        <v>51</v>
      </c>
      <c r="D10">
        <v>90</v>
      </c>
      <c r="E10">
        <v>84</v>
      </c>
      <c r="F10">
        <v>67</v>
      </c>
      <c r="G10">
        <v>66</v>
      </c>
      <c r="H10">
        <v>35</v>
      </c>
      <c r="I10">
        <v>30</v>
      </c>
      <c r="J10">
        <v>68</v>
      </c>
      <c r="K10">
        <v>32</v>
      </c>
    </row>
    <row r="11" spans="1:11" x14ac:dyDescent="0.2">
      <c r="A11" t="s">
        <v>7</v>
      </c>
      <c r="B11">
        <v>36</v>
      </c>
      <c r="C11">
        <v>52</v>
      </c>
      <c r="D11">
        <v>51</v>
      </c>
      <c r="E11">
        <v>63</v>
      </c>
      <c r="F11">
        <v>16</v>
      </c>
      <c r="G11">
        <v>60</v>
      </c>
      <c r="H11">
        <v>20</v>
      </c>
      <c r="I11">
        <v>77</v>
      </c>
      <c r="J11">
        <v>72</v>
      </c>
      <c r="K11">
        <v>28</v>
      </c>
    </row>
    <row r="12" spans="1:11" x14ac:dyDescent="0.2">
      <c r="A12" t="s">
        <v>7</v>
      </c>
      <c r="B12">
        <v>43</v>
      </c>
      <c r="C12">
        <v>86</v>
      </c>
      <c r="D12">
        <v>87</v>
      </c>
      <c r="E12">
        <v>16</v>
      </c>
      <c r="F12">
        <v>38</v>
      </c>
      <c r="G12">
        <v>48</v>
      </c>
      <c r="H12">
        <v>29</v>
      </c>
      <c r="I12">
        <v>72</v>
      </c>
      <c r="J12">
        <v>63</v>
      </c>
      <c r="K12">
        <v>89</v>
      </c>
    </row>
    <row r="13" spans="1:11" x14ac:dyDescent="0.2">
      <c r="A13" t="s">
        <v>9</v>
      </c>
      <c r="B13">
        <v>56</v>
      </c>
      <c r="C13">
        <v>51</v>
      </c>
      <c r="D13">
        <v>57</v>
      </c>
      <c r="E13">
        <v>62</v>
      </c>
      <c r="F13">
        <v>72</v>
      </c>
      <c r="G13">
        <v>48</v>
      </c>
      <c r="H13">
        <v>33</v>
      </c>
      <c r="I13">
        <v>47</v>
      </c>
      <c r="J13">
        <v>39</v>
      </c>
      <c r="K13">
        <v>12</v>
      </c>
    </row>
    <row r="14" spans="1:11" x14ac:dyDescent="0.2">
      <c r="A14" t="s">
        <v>9</v>
      </c>
      <c r="B14">
        <v>59</v>
      </c>
      <c r="C14">
        <v>28</v>
      </c>
      <c r="D14">
        <v>84</v>
      </c>
      <c r="E14">
        <v>47</v>
      </c>
      <c r="F14">
        <v>62</v>
      </c>
      <c r="G14">
        <v>13</v>
      </c>
      <c r="H14">
        <v>-25</v>
      </c>
      <c r="I14">
        <v>27</v>
      </c>
      <c r="J14">
        <v>73</v>
      </c>
      <c r="K14">
        <v>21</v>
      </c>
    </row>
    <row r="15" spans="1:11" x14ac:dyDescent="0.2">
      <c r="A15" t="s">
        <v>11</v>
      </c>
      <c r="B15">
        <v>68</v>
      </c>
      <c r="C15">
        <v>33</v>
      </c>
      <c r="D15">
        <v>75</v>
      </c>
      <c r="E15">
        <v>14</v>
      </c>
      <c r="F15">
        <v>15</v>
      </c>
      <c r="G15">
        <v>67</v>
      </c>
      <c r="H15">
        <v>39</v>
      </c>
      <c r="I15">
        <v>70</v>
      </c>
      <c r="J15">
        <v>84</v>
      </c>
      <c r="K15">
        <v>21</v>
      </c>
    </row>
    <row r="16" spans="1:11" x14ac:dyDescent="0.2">
      <c r="A16" t="s">
        <v>11</v>
      </c>
      <c r="B16">
        <v>21</v>
      </c>
      <c r="C16">
        <v>66</v>
      </c>
      <c r="D16">
        <v>81</v>
      </c>
      <c r="E16">
        <v>80</v>
      </c>
      <c r="F16">
        <v>48</v>
      </c>
      <c r="G16">
        <v>28</v>
      </c>
      <c r="H16">
        <v>25</v>
      </c>
      <c r="I16">
        <v>57</v>
      </c>
      <c r="J16">
        <v>69</v>
      </c>
      <c r="K16">
        <v>62</v>
      </c>
    </row>
    <row r="17" spans="1:11" x14ac:dyDescent="0.2">
      <c r="A17" t="s">
        <v>12</v>
      </c>
      <c r="B17">
        <v>68</v>
      </c>
      <c r="C17">
        <v>37</v>
      </c>
      <c r="D17">
        <v>54</v>
      </c>
      <c r="E17">
        <v>50</v>
      </c>
      <c r="F17">
        <v>19</v>
      </c>
      <c r="G17">
        <v>84</v>
      </c>
      <c r="H17">
        <v>58</v>
      </c>
      <c r="I17">
        <v>17</v>
      </c>
      <c r="J17">
        <v>31</v>
      </c>
      <c r="K17">
        <v>12</v>
      </c>
    </row>
    <row r="18" spans="1:11" x14ac:dyDescent="0.2">
      <c r="A18" t="s">
        <v>12</v>
      </c>
      <c r="B18">
        <v>47</v>
      </c>
      <c r="C18">
        <v>83</v>
      </c>
      <c r="D18">
        <v>29</v>
      </c>
      <c r="E18">
        <v>89</v>
      </c>
      <c r="F18">
        <v>59</v>
      </c>
      <c r="G18">
        <v>63</v>
      </c>
      <c r="H18">
        <v>88</v>
      </c>
      <c r="I18">
        <v>30</v>
      </c>
      <c r="J18">
        <v>28</v>
      </c>
      <c r="K18">
        <v>59</v>
      </c>
    </row>
    <row r="19" spans="1:11" x14ac:dyDescent="0.2">
      <c r="A19" t="s">
        <v>2</v>
      </c>
      <c r="B19" t="s">
        <v>31</v>
      </c>
      <c r="C19" t="s">
        <v>32</v>
      </c>
      <c r="D19" t="s">
        <v>33</v>
      </c>
      <c r="E19" t="s">
        <v>34</v>
      </c>
      <c r="F19" t="s">
        <v>35</v>
      </c>
      <c r="G19" t="s">
        <v>36</v>
      </c>
      <c r="H19" t="s">
        <v>37</v>
      </c>
      <c r="I19" t="s">
        <v>38</v>
      </c>
      <c r="J19" t="s">
        <v>39</v>
      </c>
      <c r="K19" t="s">
        <v>41</v>
      </c>
    </row>
    <row r="20" spans="1:11" x14ac:dyDescent="0.2">
      <c r="A20" t="s">
        <v>5</v>
      </c>
      <c r="B20">
        <v>-100</v>
      </c>
      <c r="C20">
        <v>100</v>
      </c>
      <c r="D20">
        <v>-100</v>
      </c>
      <c r="E20">
        <v>100</v>
      </c>
      <c r="F20">
        <v>-100</v>
      </c>
      <c r="G20">
        <v>100</v>
      </c>
      <c r="H20">
        <v>-100</v>
      </c>
      <c r="I20">
        <v>100</v>
      </c>
      <c r="J20">
        <v>-100</v>
      </c>
      <c r="K20">
        <v>100</v>
      </c>
    </row>
    <row r="21" spans="1:11" x14ac:dyDescent="0.2">
      <c r="A21" t="s">
        <v>5</v>
      </c>
      <c r="B21">
        <v>12</v>
      </c>
      <c r="C21">
        <v>51</v>
      </c>
      <c r="D21">
        <v>90</v>
      </c>
      <c r="E21">
        <v>84</v>
      </c>
      <c r="F21">
        <v>67</v>
      </c>
      <c r="G21">
        <v>66</v>
      </c>
      <c r="H21">
        <v>35</v>
      </c>
      <c r="I21">
        <v>30</v>
      </c>
      <c r="J21">
        <v>68</v>
      </c>
      <c r="K21">
        <v>32</v>
      </c>
    </row>
    <row r="22" spans="1:11" x14ac:dyDescent="0.2">
      <c r="A22" t="s">
        <v>7</v>
      </c>
      <c r="B22">
        <v>36</v>
      </c>
      <c r="C22">
        <v>52</v>
      </c>
      <c r="D22">
        <v>51</v>
      </c>
      <c r="E22">
        <v>63</v>
      </c>
      <c r="F22">
        <v>16</v>
      </c>
      <c r="G22">
        <v>60</v>
      </c>
      <c r="H22">
        <v>20</v>
      </c>
      <c r="I22">
        <v>77</v>
      </c>
      <c r="J22">
        <v>72</v>
      </c>
      <c r="K22">
        <v>28</v>
      </c>
    </row>
    <row r="23" spans="1:11" x14ac:dyDescent="0.2">
      <c r="A23" t="s">
        <v>7</v>
      </c>
      <c r="B23">
        <v>43</v>
      </c>
      <c r="C23">
        <v>86</v>
      </c>
      <c r="D23">
        <v>87</v>
      </c>
      <c r="E23">
        <v>16</v>
      </c>
      <c r="F23">
        <v>38</v>
      </c>
      <c r="G23">
        <v>48</v>
      </c>
      <c r="H23">
        <v>29</v>
      </c>
      <c r="I23">
        <v>72</v>
      </c>
      <c r="J23">
        <v>63</v>
      </c>
      <c r="K23">
        <v>89</v>
      </c>
    </row>
    <row r="24" spans="1:11" x14ac:dyDescent="0.2">
      <c r="A24" t="s">
        <v>9</v>
      </c>
      <c r="B24">
        <v>56</v>
      </c>
      <c r="C24">
        <v>51</v>
      </c>
      <c r="D24">
        <v>57</v>
      </c>
      <c r="E24">
        <v>62</v>
      </c>
      <c r="F24">
        <v>72</v>
      </c>
      <c r="G24">
        <v>48</v>
      </c>
      <c r="H24">
        <v>33</v>
      </c>
      <c r="I24">
        <v>47</v>
      </c>
      <c r="J24">
        <v>39</v>
      </c>
      <c r="K24">
        <v>12</v>
      </c>
    </row>
    <row r="25" spans="1:11" x14ac:dyDescent="0.2">
      <c r="A25" t="s">
        <v>9</v>
      </c>
      <c r="B25">
        <v>59</v>
      </c>
      <c r="C25">
        <v>28</v>
      </c>
      <c r="D25">
        <v>84</v>
      </c>
      <c r="E25">
        <v>47</v>
      </c>
      <c r="F25">
        <v>62</v>
      </c>
      <c r="G25">
        <v>13</v>
      </c>
      <c r="H25">
        <v>-25</v>
      </c>
      <c r="I25">
        <v>27</v>
      </c>
      <c r="J25">
        <v>73</v>
      </c>
      <c r="K25">
        <v>21</v>
      </c>
    </row>
    <row r="26" spans="1:11" x14ac:dyDescent="0.2">
      <c r="A26" t="s">
        <v>11</v>
      </c>
      <c r="B26">
        <v>68</v>
      </c>
      <c r="C26">
        <v>33</v>
      </c>
      <c r="D26">
        <v>75</v>
      </c>
      <c r="E26">
        <v>14</v>
      </c>
      <c r="F26">
        <v>15</v>
      </c>
      <c r="G26">
        <v>67</v>
      </c>
      <c r="H26">
        <v>39</v>
      </c>
      <c r="I26">
        <v>70</v>
      </c>
      <c r="J26">
        <v>84</v>
      </c>
      <c r="K26">
        <v>21</v>
      </c>
    </row>
    <row r="27" spans="1:11" x14ac:dyDescent="0.2">
      <c r="A27" t="s">
        <v>11</v>
      </c>
      <c r="B27">
        <v>21</v>
      </c>
      <c r="C27">
        <v>66</v>
      </c>
      <c r="D27">
        <v>81</v>
      </c>
      <c r="E27">
        <v>80</v>
      </c>
      <c r="F27">
        <v>48</v>
      </c>
      <c r="G27">
        <v>28</v>
      </c>
      <c r="H27">
        <v>25</v>
      </c>
      <c r="I27">
        <v>57</v>
      </c>
      <c r="J27">
        <v>69</v>
      </c>
      <c r="K27">
        <v>62</v>
      </c>
    </row>
    <row r="28" spans="1:11" x14ac:dyDescent="0.2">
      <c r="A28" t="s">
        <v>12</v>
      </c>
      <c r="B28">
        <v>68</v>
      </c>
      <c r="C28">
        <v>37</v>
      </c>
      <c r="D28">
        <v>54</v>
      </c>
      <c r="E28">
        <v>50</v>
      </c>
      <c r="F28">
        <v>19</v>
      </c>
      <c r="G28">
        <v>84</v>
      </c>
      <c r="H28">
        <v>58</v>
      </c>
      <c r="I28">
        <v>17</v>
      </c>
      <c r="J28">
        <v>31</v>
      </c>
      <c r="K28">
        <v>12</v>
      </c>
    </row>
    <row r="29" spans="1:11" x14ac:dyDescent="0.2">
      <c r="A29" t="s">
        <v>12</v>
      </c>
      <c r="B29">
        <v>47</v>
      </c>
      <c r="C29">
        <v>83</v>
      </c>
      <c r="D29">
        <v>29</v>
      </c>
      <c r="E29">
        <v>89</v>
      </c>
      <c r="F29">
        <v>59</v>
      </c>
      <c r="G29">
        <v>63</v>
      </c>
      <c r="H29">
        <v>88</v>
      </c>
      <c r="I29">
        <v>30</v>
      </c>
      <c r="J29">
        <v>28</v>
      </c>
      <c r="K29">
        <v>59</v>
      </c>
    </row>
    <row r="30" spans="1:11" x14ac:dyDescent="0.2">
      <c r="A30" t="s">
        <v>2</v>
      </c>
      <c r="B30" t="s">
        <v>31</v>
      </c>
      <c r="C30" t="s">
        <v>32</v>
      </c>
      <c r="D30" t="s">
        <v>33</v>
      </c>
      <c r="E30" t="s">
        <v>34</v>
      </c>
      <c r="F30" t="s">
        <v>35</v>
      </c>
      <c r="G30" t="s">
        <v>36</v>
      </c>
      <c r="H30" t="s">
        <v>37</v>
      </c>
      <c r="I30" t="s">
        <v>38</v>
      </c>
      <c r="J30" t="s">
        <v>39</v>
      </c>
      <c r="K30" t="s">
        <v>41</v>
      </c>
    </row>
    <row r="31" spans="1:11" x14ac:dyDescent="0.2">
      <c r="A31" t="s">
        <v>5</v>
      </c>
      <c r="B31">
        <v>-100</v>
      </c>
      <c r="C31">
        <v>100</v>
      </c>
      <c r="D31">
        <v>-100</v>
      </c>
      <c r="E31">
        <v>100</v>
      </c>
      <c r="F31">
        <v>-100</v>
      </c>
      <c r="G31">
        <v>100</v>
      </c>
      <c r="H31">
        <v>-100</v>
      </c>
      <c r="I31">
        <v>100</v>
      </c>
      <c r="J31">
        <v>-100</v>
      </c>
      <c r="K31">
        <v>100</v>
      </c>
    </row>
    <row r="32" spans="1:11" x14ac:dyDescent="0.2">
      <c r="A32" t="s">
        <v>5</v>
      </c>
      <c r="B32">
        <v>12</v>
      </c>
      <c r="C32">
        <v>51</v>
      </c>
      <c r="D32">
        <v>90</v>
      </c>
      <c r="E32">
        <v>84</v>
      </c>
      <c r="F32">
        <v>67</v>
      </c>
      <c r="G32">
        <v>66</v>
      </c>
      <c r="H32">
        <v>35</v>
      </c>
      <c r="I32">
        <v>30</v>
      </c>
      <c r="J32">
        <v>68</v>
      </c>
      <c r="K32">
        <v>32</v>
      </c>
    </row>
    <row r="33" spans="1:11" x14ac:dyDescent="0.2">
      <c r="A33" t="s">
        <v>7</v>
      </c>
      <c r="B33">
        <v>36</v>
      </c>
      <c r="C33">
        <v>52</v>
      </c>
      <c r="D33">
        <v>51</v>
      </c>
      <c r="E33">
        <v>63</v>
      </c>
      <c r="F33">
        <v>16</v>
      </c>
      <c r="G33">
        <v>60</v>
      </c>
      <c r="H33">
        <v>20</v>
      </c>
      <c r="I33">
        <v>77</v>
      </c>
      <c r="J33">
        <v>72</v>
      </c>
      <c r="K33">
        <v>28</v>
      </c>
    </row>
    <row r="34" spans="1:11" x14ac:dyDescent="0.2">
      <c r="A34" t="s">
        <v>7</v>
      </c>
      <c r="B34">
        <v>43</v>
      </c>
      <c r="C34">
        <v>86</v>
      </c>
      <c r="D34">
        <v>87</v>
      </c>
      <c r="E34">
        <v>16</v>
      </c>
      <c r="F34">
        <v>38</v>
      </c>
      <c r="G34">
        <v>48</v>
      </c>
      <c r="H34">
        <v>29</v>
      </c>
      <c r="I34">
        <v>72</v>
      </c>
      <c r="J34">
        <v>63</v>
      </c>
      <c r="K34">
        <v>89</v>
      </c>
    </row>
    <row r="35" spans="1:11" x14ac:dyDescent="0.2">
      <c r="A35" t="s">
        <v>9</v>
      </c>
      <c r="B35">
        <v>56</v>
      </c>
      <c r="C35">
        <v>51</v>
      </c>
      <c r="D35">
        <v>57</v>
      </c>
      <c r="E35">
        <v>62</v>
      </c>
      <c r="F35">
        <v>72</v>
      </c>
      <c r="G35">
        <v>48</v>
      </c>
      <c r="H35">
        <v>33</v>
      </c>
      <c r="I35">
        <v>47</v>
      </c>
      <c r="J35">
        <v>39</v>
      </c>
      <c r="K35">
        <v>12</v>
      </c>
    </row>
    <row r="36" spans="1:11" x14ac:dyDescent="0.2">
      <c r="A36" t="s">
        <v>9</v>
      </c>
      <c r="B36">
        <v>59</v>
      </c>
      <c r="C36">
        <v>28</v>
      </c>
      <c r="D36">
        <v>84</v>
      </c>
      <c r="E36">
        <v>47</v>
      </c>
      <c r="F36">
        <v>62</v>
      </c>
      <c r="G36">
        <v>13</v>
      </c>
      <c r="H36">
        <v>-25</v>
      </c>
      <c r="I36">
        <v>27</v>
      </c>
      <c r="J36">
        <v>73</v>
      </c>
      <c r="K36">
        <v>21</v>
      </c>
    </row>
    <row r="37" spans="1:11" x14ac:dyDescent="0.2">
      <c r="A37" t="s">
        <v>11</v>
      </c>
      <c r="B37">
        <v>68</v>
      </c>
      <c r="C37">
        <v>33</v>
      </c>
      <c r="D37">
        <v>75</v>
      </c>
      <c r="E37">
        <v>14</v>
      </c>
      <c r="F37">
        <v>15</v>
      </c>
      <c r="G37">
        <v>67</v>
      </c>
      <c r="H37">
        <v>39</v>
      </c>
      <c r="I37">
        <v>70</v>
      </c>
      <c r="J37">
        <v>84</v>
      </c>
      <c r="K37">
        <v>21</v>
      </c>
    </row>
    <row r="38" spans="1:11" x14ac:dyDescent="0.2">
      <c r="A38" t="s">
        <v>11</v>
      </c>
      <c r="B38">
        <v>21</v>
      </c>
      <c r="C38">
        <v>66</v>
      </c>
      <c r="D38">
        <v>81</v>
      </c>
      <c r="E38">
        <v>80</v>
      </c>
      <c r="F38">
        <v>48</v>
      </c>
      <c r="G38">
        <v>28</v>
      </c>
      <c r="H38">
        <v>25</v>
      </c>
      <c r="I38">
        <v>57</v>
      </c>
      <c r="J38">
        <v>69</v>
      </c>
      <c r="K38">
        <v>62</v>
      </c>
    </row>
    <row r="39" spans="1:11" x14ac:dyDescent="0.2">
      <c r="A39" t="s">
        <v>12</v>
      </c>
      <c r="B39">
        <v>68</v>
      </c>
      <c r="C39">
        <v>37</v>
      </c>
      <c r="D39">
        <v>54</v>
      </c>
      <c r="E39">
        <v>50</v>
      </c>
      <c r="F39">
        <v>19</v>
      </c>
      <c r="G39">
        <v>84</v>
      </c>
      <c r="H39">
        <v>58</v>
      </c>
      <c r="I39">
        <v>17</v>
      </c>
      <c r="J39">
        <v>31</v>
      </c>
      <c r="K39">
        <v>12</v>
      </c>
    </row>
    <row r="40" spans="1:11" x14ac:dyDescent="0.2">
      <c r="A40" t="s">
        <v>12</v>
      </c>
      <c r="B40">
        <v>47</v>
      </c>
      <c r="C40">
        <v>83</v>
      </c>
      <c r="D40">
        <v>29</v>
      </c>
      <c r="E40">
        <v>89</v>
      </c>
      <c r="F40">
        <v>59</v>
      </c>
      <c r="G40">
        <v>63</v>
      </c>
      <c r="H40">
        <v>88</v>
      </c>
      <c r="I40">
        <v>30</v>
      </c>
      <c r="J40">
        <v>28</v>
      </c>
      <c r="K40">
        <v>59</v>
      </c>
    </row>
    <row r="41" spans="1:11" x14ac:dyDescent="0.2">
      <c r="A41" t="s">
        <v>2</v>
      </c>
      <c r="B41" t="s">
        <v>31</v>
      </c>
      <c r="C41" t="s">
        <v>32</v>
      </c>
      <c r="D41" t="s">
        <v>33</v>
      </c>
      <c r="E41" t="s">
        <v>34</v>
      </c>
      <c r="F41" t="s">
        <v>35</v>
      </c>
      <c r="G41" t="s">
        <v>36</v>
      </c>
      <c r="H41" t="s">
        <v>37</v>
      </c>
      <c r="I41" t="s">
        <v>38</v>
      </c>
      <c r="J41" t="s">
        <v>39</v>
      </c>
      <c r="K41" t="s">
        <v>41</v>
      </c>
    </row>
    <row r="42" spans="1:11" x14ac:dyDescent="0.2">
      <c r="A42" t="s">
        <v>5</v>
      </c>
      <c r="B42">
        <v>-100</v>
      </c>
      <c r="C42">
        <v>100</v>
      </c>
      <c r="D42">
        <v>-100</v>
      </c>
      <c r="E42">
        <v>100</v>
      </c>
      <c r="F42">
        <v>-100</v>
      </c>
      <c r="G42">
        <v>100</v>
      </c>
      <c r="H42">
        <v>-100</v>
      </c>
      <c r="I42">
        <v>100</v>
      </c>
      <c r="J42">
        <v>-100</v>
      </c>
      <c r="K42">
        <v>100</v>
      </c>
    </row>
    <row r="43" spans="1:11" x14ac:dyDescent="0.2">
      <c r="A43" t="s">
        <v>5</v>
      </c>
      <c r="B43">
        <v>12</v>
      </c>
      <c r="C43">
        <v>51</v>
      </c>
      <c r="D43">
        <v>90</v>
      </c>
      <c r="E43">
        <v>84</v>
      </c>
      <c r="F43">
        <v>67</v>
      </c>
      <c r="G43">
        <v>66</v>
      </c>
      <c r="H43">
        <v>35</v>
      </c>
      <c r="I43">
        <v>30</v>
      </c>
      <c r="J43">
        <v>68</v>
      </c>
      <c r="K43">
        <v>32</v>
      </c>
    </row>
    <row r="44" spans="1:11" x14ac:dyDescent="0.2">
      <c r="A44" t="s">
        <v>7</v>
      </c>
      <c r="B44">
        <v>36</v>
      </c>
      <c r="C44">
        <v>52</v>
      </c>
      <c r="D44">
        <v>51</v>
      </c>
      <c r="E44">
        <v>63</v>
      </c>
      <c r="F44">
        <v>16</v>
      </c>
      <c r="G44">
        <v>60</v>
      </c>
      <c r="H44">
        <v>20</v>
      </c>
      <c r="I44">
        <v>77</v>
      </c>
      <c r="J44">
        <v>72</v>
      </c>
      <c r="K44">
        <v>28</v>
      </c>
    </row>
    <row r="45" spans="1:11" x14ac:dyDescent="0.2">
      <c r="A45" t="s">
        <v>7</v>
      </c>
      <c r="B45">
        <v>43</v>
      </c>
      <c r="C45">
        <v>86</v>
      </c>
      <c r="D45">
        <v>87</v>
      </c>
      <c r="E45">
        <v>16</v>
      </c>
      <c r="F45">
        <v>38</v>
      </c>
      <c r="G45">
        <v>48</v>
      </c>
      <c r="H45">
        <v>29</v>
      </c>
      <c r="I45">
        <v>72</v>
      </c>
      <c r="J45">
        <v>63</v>
      </c>
      <c r="K45">
        <v>89</v>
      </c>
    </row>
    <row r="46" spans="1:11" x14ac:dyDescent="0.2">
      <c r="A46" t="s">
        <v>9</v>
      </c>
      <c r="B46">
        <v>56</v>
      </c>
      <c r="C46">
        <v>51</v>
      </c>
      <c r="D46">
        <v>57</v>
      </c>
      <c r="E46">
        <v>62</v>
      </c>
      <c r="F46">
        <v>72</v>
      </c>
      <c r="G46">
        <v>48</v>
      </c>
      <c r="H46">
        <v>33</v>
      </c>
      <c r="I46">
        <v>47</v>
      </c>
      <c r="J46">
        <v>39</v>
      </c>
      <c r="K46">
        <v>12</v>
      </c>
    </row>
    <row r="47" spans="1:11" x14ac:dyDescent="0.2">
      <c r="A47" t="s">
        <v>9</v>
      </c>
      <c r="B47">
        <v>59</v>
      </c>
      <c r="C47">
        <v>28</v>
      </c>
      <c r="D47">
        <v>84</v>
      </c>
      <c r="E47">
        <v>47</v>
      </c>
      <c r="F47">
        <v>62</v>
      </c>
      <c r="G47">
        <v>13</v>
      </c>
      <c r="H47">
        <v>-25</v>
      </c>
      <c r="I47">
        <v>27</v>
      </c>
      <c r="J47">
        <v>73</v>
      </c>
      <c r="K47">
        <v>21</v>
      </c>
    </row>
    <row r="48" spans="1:11" x14ac:dyDescent="0.2">
      <c r="A48" t="s">
        <v>11</v>
      </c>
      <c r="B48">
        <v>68</v>
      </c>
      <c r="C48">
        <v>33</v>
      </c>
      <c r="D48">
        <v>75</v>
      </c>
      <c r="E48">
        <v>14</v>
      </c>
      <c r="F48">
        <v>15</v>
      </c>
      <c r="G48">
        <v>67</v>
      </c>
      <c r="H48">
        <v>39</v>
      </c>
      <c r="I48">
        <v>70</v>
      </c>
      <c r="J48">
        <v>84</v>
      </c>
      <c r="K48">
        <v>21</v>
      </c>
    </row>
    <row r="49" spans="1:11" x14ac:dyDescent="0.2">
      <c r="A49" t="s">
        <v>11</v>
      </c>
      <c r="B49">
        <v>21</v>
      </c>
      <c r="C49">
        <v>66</v>
      </c>
      <c r="D49">
        <v>81</v>
      </c>
      <c r="E49">
        <v>80</v>
      </c>
      <c r="F49">
        <v>48</v>
      </c>
      <c r="G49">
        <v>28</v>
      </c>
      <c r="H49">
        <v>25</v>
      </c>
      <c r="I49">
        <v>57</v>
      </c>
      <c r="J49">
        <v>69</v>
      </c>
      <c r="K49">
        <v>62</v>
      </c>
    </row>
    <row r="50" spans="1:11" x14ac:dyDescent="0.2">
      <c r="A50" t="s">
        <v>12</v>
      </c>
      <c r="B50">
        <v>68</v>
      </c>
      <c r="C50">
        <v>37</v>
      </c>
      <c r="D50">
        <v>54</v>
      </c>
      <c r="E50">
        <v>50</v>
      </c>
      <c r="F50">
        <v>19</v>
      </c>
      <c r="G50">
        <v>84</v>
      </c>
      <c r="H50">
        <v>58</v>
      </c>
      <c r="I50">
        <v>17</v>
      </c>
      <c r="J50">
        <v>31</v>
      </c>
      <c r="K50">
        <v>12</v>
      </c>
    </row>
    <row r="51" spans="1:11" x14ac:dyDescent="0.2">
      <c r="A51" t="s">
        <v>12</v>
      </c>
      <c r="B51">
        <v>47</v>
      </c>
      <c r="C51">
        <v>83</v>
      </c>
      <c r="D51">
        <v>29</v>
      </c>
      <c r="E51">
        <v>89</v>
      </c>
      <c r="F51">
        <v>59</v>
      </c>
      <c r="G51">
        <v>63</v>
      </c>
      <c r="H51">
        <v>88</v>
      </c>
      <c r="I51">
        <v>30</v>
      </c>
      <c r="J51">
        <v>28</v>
      </c>
      <c r="K51">
        <v>59</v>
      </c>
    </row>
  </sheetData>
  <pageMargins left="0.7" right="0.7" top="0.75" bottom="0.75" header="0.3" footer="0.3"/>
  <pageSetup orientation="portrait" verticalDpi="0" r:id="rId1"/>
  <headerFooter>
    <oddHeader>&amp;LSATISH VIDEOS&amp;CLEARN MORE CHANNEL&amp;REXCEL TUTORIAL</oddHeader>
    <oddFooter>&amp;C&amp;P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07"/>
  <sheetViews>
    <sheetView topLeftCell="A98" zoomScale="160" zoomScaleNormal="160" zoomScaleSheetLayoutView="115" workbookViewId="0">
      <selection sqref="A1:E107"/>
    </sheetView>
  </sheetViews>
  <sheetFormatPr defaultRowHeight="14.25" x14ac:dyDescent="0.2"/>
  <cols>
    <col min="1" max="1" width="10.875" customWidth="1"/>
    <col min="3" max="3" width="13.625" customWidth="1"/>
    <col min="4" max="4" width="19.625" customWidth="1"/>
  </cols>
  <sheetData>
    <row r="1" spans="1:5" x14ac:dyDescent="0.2">
      <c r="A1" t="s">
        <v>0</v>
      </c>
      <c r="B1" t="s">
        <v>1</v>
      </c>
      <c r="C1" t="s">
        <v>2</v>
      </c>
      <c r="D1" t="s">
        <v>3</v>
      </c>
      <c r="E1" t="s">
        <v>4</v>
      </c>
    </row>
    <row r="2" spans="1:5" x14ac:dyDescent="0.2">
      <c r="A2" s="1">
        <v>42705</v>
      </c>
      <c r="B2">
        <v>1</v>
      </c>
      <c r="C2" t="s">
        <v>5</v>
      </c>
      <c r="D2" t="s">
        <v>6</v>
      </c>
      <c r="E2">
        <v>100</v>
      </c>
    </row>
    <row r="3" spans="1:5" x14ac:dyDescent="0.2">
      <c r="A3" s="1">
        <v>42706</v>
      </c>
      <c r="B3">
        <v>2</v>
      </c>
      <c r="C3" t="s">
        <v>5</v>
      </c>
      <c r="D3" t="s">
        <v>6</v>
      </c>
      <c r="E3">
        <v>350</v>
      </c>
    </row>
    <row r="4" spans="1:5" x14ac:dyDescent="0.2">
      <c r="A4" s="1">
        <v>42707</v>
      </c>
      <c r="B4">
        <v>3</v>
      </c>
      <c r="C4" t="s">
        <v>7</v>
      </c>
      <c r="D4" t="s">
        <v>8</v>
      </c>
      <c r="E4">
        <v>350</v>
      </c>
    </row>
    <row r="5" spans="1:5" x14ac:dyDescent="0.2">
      <c r="A5" s="1">
        <v>42708</v>
      </c>
      <c r="B5">
        <v>4</v>
      </c>
      <c r="C5" t="s">
        <v>7</v>
      </c>
      <c r="D5" t="s">
        <v>8</v>
      </c>
      <c r="E5">
        <v>250</v>
      </c>
    </row>
    <row r="6" spans="1:5" x14ac:dyDescent="0.2">
      <c r="A6" s="1">
        <v>42709</v>
      </c>
      <c r="B6">
        <v>5</v>
      </c>
      <c r="C6" t="s">
        <v>9</v>
      </c>
      <c r="D6" t="s">
        <v>10</v>
      </c>
      <c r="E6">
        <v>450</v>
      </c>
    </row>
    <row r="7" spans="1:5" x14ac:dyDescent="0.2">
      <c r="A7" s="1">
        <v>42710</v>
      </c>
      <c r="B7">
        <v>6</v>
      </c>
      <c r="C7" t="s">
        <v>9</v>
      </c>
      <c r="D7" t="s">
        <v>10</v>
      </c>
      <c r="E7">
        <v>250</v>
      </c>
    </row>
    <row r="8" spans="1:5" x14ac:dyDescent="0.2">
      <c r="A8" s="1">
        <v>42711</v>
      </c>
      <c r="B8">
        <v>7</v>
      </c>
      <c r="C8" t="s">
        <v>11</v>
      </c>
      <c r="D8" t="s">
        <v>6</v>
      </c>
      <c r="E8">
        <v>250</v>
      </c>
    </row>
    <row r="9" spans="1:5" x14ac:dyDescent="0.2">
      <c r="A9" s="1">
        <v>42712</v>
      </c>
      <c r="B9">
        <v>8</v>
      </c>
      <c r="C9" t="s">
        <v>11</v>
      </c>
      <c r="D9" t="s">
        <v>6</v>
      </c>
      <c r="E9">
        <v>350</v>
      </c>
    </row>
    <row r="10" spans="1:5" x14ac:dyDescent="0.2">
      <c r="A10" s="1">
        <v>42713</v>
      </c>
      <c r="B10">
        <v>9</v>
      </c>
      <c r="C10" t="s">
        <v>12</v>
      </c>
      <c r="D10" t="s">
        <v>10</v>
      </c>
      <c r="E10">
        <v>120</v>
      </c>
    </row>
    <row r="11" spans="1:5" x14ac:dyDescent="0.2">
      <c r="A11" s="1">
        <v>42714</v>
      </c>
      <c r="B11">
        <v>10</v>
      </c>
      <c r="C11" t="s">
        <v>12</v>
      </c>
      <c r="D11" t="s">
        <v>10</v>
      </c>
      <c r="E11">
        <v>120</v>
      </c>
    </row>
    <row r="12" spans="1:5" x14ac:dyDescent="0.2">
      <c r="A12" s="1">
        <v>42715</v>
      </c>
      <c r="B12">
        <v>11</v>
      </c>
      <c r="C12" t="s">
        <v>5</v>
      </c>
      <c r="D12" t="s">
        <v>6</v>
      </c>
      <c r="E12">
        <v>204.666666666667</v>
      </c>
    </row>
    <row r="13" spans="1:5" x14ac:dyDescent="0.2">
      <c r="A13" s="1">
        <v>42716</v>
      </c>
      <c r="B13">
        <v>12</v>
      </c>
      <c r="C13" t="s">
        <v>5</v>
      </c>
      <c r="D13" t="s">
        <v>6</v>
      </c>
      <c r="E13">
        <v>194.78787878787799</v>
      </c>
    </row>
    <row r="14" spans="1:5" x14ac:dyDescent="0.2">
      <c r="A14" s="1">
        <v>42717</v>
      </c>
      <c r="B14">
        <v>13</v>
      </c>
      <c r="C14" t="s">
        <v>7</v>
      </c>
      <c r="D14" t="s">
        <v>8</v>
      </c>
      <c r="E14">
        <v>184.90909090909</v>
      </c>
    </row>
    <row r="15" spans="1:5" x14ac:dyDescent="0.2">
      <c r="A15" s="1">
        <v>42718</v>
      </c>
      <c r="B15">
        <v>14</v>
      </c>
      <c r="C15" t="s">
        <v>7</v>
      </c>
      <c r="D15" t="s">
        <v>8</v>
      </c>
      <c r="E15">
        <v>175.03030303030201</v>
      </c>
    </row>
    <row r="16" spans="1:5" x14ac:dyDescent="0.2">
      <c r="A16" s="1">
        <v>42719</v>
      </c>
      <c r="B16">
        <v>15</v>
      </c>
      <c r="C16" t="s">
        <v>9</v>
      </c>
      <c r="D16" t="s">
        <v>10</v>
      </c>
      <c r="E16">
        <v>165.15151515151501</v>
      </c>
    </row>
    <row r="17" spans="1:5" x14ac:dyDescent="0.2">
      <c r="A17" s="1">
        <v>42720</v>
      </c>
      <c r="B17">
        <v>16</v>
      </c>
      <c r="C17" t="s">
        <v>9</v>
      </c>
      <c r="D17" t="s">
        <v>10</v>
      </c>
      <c r="E17">
        <v>155.27272727272799</v>
      </c>
    </row>
    <row r="18" spans="1:5" x14ac:dyDescent="0.2">
      <c r="A18" s="1">
        <v>42721</v>
      </c>
      <c r="B18">
        <v>17</v>
      </c>
      <c r="C18" t="s">
        <v>11</v>
      </c>
      <c r="D18" t="s">
        <v>6</v>
      </c>
      <c r="E18">
        <v>145.39393939393901</v>
      </c>
    </row>
    <row r="19" spans="1:5" x14ac:dyDescent="0.2">
      <c r="A19" s="1">
        <v>42722</v>
      </c>
      <c r="B19">
        <v>18</v>
      </c>
      <c r="C19" t="s">
        <v>11</v>
      </c>
      <c r="D19" t="s">
        <v>6</v>
      </c>
      <c r="E19">
        <v>135.51515151515201</v>
      </c>
    </row>
    <row r="20" spans="1:5" x14ac:dyDescent="0.2">
      <c r="A20" s="1">
        <v>42723</v>
      </c>
      <c r="B20">
        <v>19</v>
      </c>
      <c r="C20" t="s">
        <v>12</v>
      </c>
      <c r="D20" t="s">
        <v>10</v>
      </c>
      <c r="E20">
        <v>125.636363636363</v>
      </c>
    </row>
    <row r="21" spans="1:5" x14ac:dyDescent="0.2">
      <c r="A21" s="1">
        <v>42724</v>
      </c>
      <c r="B21">
        <v>20</v>
      </c>
      <c r="C21" t="s">
        <v>12</v>
      </c>
      <c r="D21" t="s">
        <v>10</v>
      </c>
      <c r="E21">
        <v>115.757575757575</v>
      </c>
    </row>
    <row r="22" spans="1:5" x14ac:dyDescent="0.2">
      <c r="A22" s="1">
        <v>42725</v>
      </c>
      <c r="B22">
        <v>21</v>
      </c>
      <c r="C22" t="s">
        <v>5</v>
      </c>
      <c r="D22" t="s">
        <v>6</v>
      </c>
      <c r="E22">
        <v>105.878787878788</v>
      </c>
    </row>
    <row r="23" spans="1:5" x14ac:dyDescent="0.2">
      <c r="A23" s="1">
        <v>42726</v>
      </c>
      <c r="B23">
        <v>22</v>
      </c>
      <c r="C23" t="s">
        <v>5</v>
      </c>
      <c r="D23" t="s">
        <v>6</v>
      </c>
      <c r="E23">
        <v>95.999999999999503</v>
      </c>
    </row>
    <row r="24" spans="1:5" x14ac:dyDescent="0.2">
      <c r="A24" s="1">
        <v>42727</v>
      </c>
      <c r="B24">
        <v>23</v>
      </c>
      <c r="C24" t="s">
        <v>7</v>
      </c>
      <c r="D24" t="s">
        <v>8</v>
      </c>
      <c r="E24">
        <v>86.121212121211499</v>
      </c>
    </row>
    <row r="25" spans="1:5" x14ac:dyDescent="0.2">
      <c r="A25" s="1">
        <v>42728</v>
      </c>
      <c r="B25">
        <v>24</v>
      </c>
      <c r="C25" t="s">
        <v>7</v>
      </c>
      <c r="D25" t="s">
        <v>8</v>
      </c>
      <c r="E25">
        <v>76.242424242423496</v>
      </c>
    </row>
    <row r="26" spans="1:5" x14ac:dyDescent="0.2">
      <c r="A26" s="1">
        <v>42729</v>
      </c>
      <c r="B26">
        <v>25</v>
      </c>
      <c r="C26" t="s">
        <v>9</v>
      </c>
      <c r="D26" t="s">
        <v>10</v>
      </c>
      <c r="E26">
        <v>66.363636363636502</v>
      </c>
    </row>
    <row r="27" spans="1:5" x14ac:dyDescent="0.2">
      <c r="A27" s="1">
        <v>42730</v>
      </c>
      <c r="B27">
        <v>26</v>
      </c>
      <c r="C27" t="s">
        <v>9</v>
      </c>
      <c r="D27" t="s">
        <v>10</v>
      </c>
      <c r="E27">
        <v>56.484848484848499</v>
      </c>
    </row>
    <row r="28" spans="1:5" x14ac:dyDescent="0.2">
      <c r="A28" s="1">
        <v>42731</v>
      </c>
      <c r="B28">
        <v>27</v>
      </c>
      <c r="C28" t="s">
        <v>11</v>
      </c>
      <c r="D28" t="s">
        <v>6</v>
      </c>
      <c r="E28">
        <v>46.606060606060502</v>
      </c>
    </row>
    <row r="29" spans="1:5" x14ac:dyDescent="0.2">
      <c r="A29" s="1">
        <v>42732</v>
      </c>
      <c r="B29">
        <v>28</v>
      </c>
      <c r="C29" t="s">
        <v>11</v>
      </c>
      <c r="D29" t="s">
        <v>6</v>
      </c>
      <c r="E29">
        <v>36.727272727272499</v>
      </c>
    </row>
    <row r="30" spans="1:5" x14ac:dyDescent="0.2">
      <c r="A30" s="1">
        <v>42733</v>
      </c>
      <c r="B30">
        <v>29</v>
      </c>
      <c r="C30" t="s">
        <v>12</v>
      </c>
      <c r="D30" t="s">
        <v>10</v>
      </c>
      <c r="E30">
        <v>26.8484848484845</v>
      </c>
    </row>
    <row r="31" spans="1:5" x14ac:dyDescent="0.2">
      <c r="A31" s="1">
        <v>42734</v>
      </c>
      <c r="B31">
        <v>30</v>
      </c>
      <c r="C31" t="s">
        <v>12</v>
      </c>
      <c r="D31" t="s">
        <v>10</v>
      </c>
      <c r="E31">
        <v>16.9696969696965</v>
      </c>
    </row>
    <row r="32" spans="1:5" x14ac:dyDescent="0.2">
      <c r="A32" s="1">
        <v>42735</v>
      </c>
      <c r="B32">
        <v>31</v>
      </c>
      <c r="C32" t="s">
        <v>5</v>
      </c>
      <c r="D32" t="s">
        <v>6</v>
      </c>
      <c r="E32">
        <v>7.0909090909085002</v>
      </c>
    </row>
    <row r="33" spans="1:5" x14ac:dyDescent="0.2">
      <c r="A33" s="1">
        <v>42736</v>
      </c>
      <c r="B33">
        <v>32</v>
      </c>
      <c r="C33" t="s">
        <v>5</v>
      </c>
      <c r="D33" t="s">
        <v>6</v>
      </c>
      <c r="E33">
        <v>-2.7878787878794902</v>
      </c>
    </row>
    <row r="34" spans="1:5" x14ac:dyDescent="0.2">
      <c r="A34" s="1">
        <v>42737</v>
      </c>
      <c r="B34">
        <v>33</v>
      </c>
      <c r="C34" t="s">
        <v>7</v>
      </c>
      <c r="D34" t="s">
        <v>8</v>
      </c>
      <c r="E34">
        <v>-12.666666666667499</v>
      </c>
    </row>
    <row r="35" spans="1:5" x14ac:dyDescent="0.2">
      <c r="A35" s="1">
        <v>42738</v>
      </c>
      <c r="B35">
        <v>34</v>
      </c>
      <c r="C35" t="s">
        <v>7</v>
      </c>
      <c r="D35" t="s">
        <v>8</v>
      </c>
      <c r="E35">
        <v>-22.545454545454501</v>
      </c>
    </row>
    <row r="36" spans="1:5" x14ac:dyDescent="0.2">
      <c r="A36" s="1">
        <v>42739</v>
      </c>
      <c r="B36">
        <v>35</v>
      </c>
      <c r="C36" t="s">
        <v>9</v>
      </c>
      <c r="D36" t="s">
        <v>10</v>
      </c>
      <c r="E36">
        <v>-32.4242424242425</v>
      </c>
    </row>
    <row r="37" spans="1:5" x14ac:dyDescent="0.2">
      <c r="A37" s="1">
        <v>42740</v>
      </c>
      <c r="B37">
        <v>36</v>
      </c>
      <c r="C37" t="s">
        <v>9</v>
      </c>
      <c r="D37" t="s">
        <v>10</v>
      </c>
      <c r="E37">
        <v>-42.303030303030503</v>
      </c>
    </row>
    <row r="38" spans="1:5" x14ac:dyDescent="0.2">
      <c r="A38" s="1">
        <v>42741</v>
      </c>
      <c r="B38">
        <v>37</v>
      </c>
      <c r="C38" t="s">
        <v>11</v>
      </c>
      <c r="D38" t="s">
        <v>6</v>
      </c>
      <c r="E38">
        <v>-52.1818181818185</v>
      </c>
    </row>
    <row r="39" spans="1:5" x14ac:dyDescent="0.2">
      <c r="A39" s="1">
        <v>42742</v>
      </c>
      <c r="B39">
        <v>38</v>
      </c>
      <c r="C39" t="s">
        <v>11</v>
      </c>
      <c r="D39" t="s">
        <v>6</v>
      </c>
      <c r="E39">
        <v>-62.060606060606503</v>
      </c>
    </row>
    <row r="40" spans="1:5" x14ac:dyDescent="0.2">
      <c r="A40" s="1">
        <v>42743</v>
      </c>
      <c r="B40">
        <v>39</v>
      </c>
      <c r="C40" t="s">
        <v>12</v>
      </c>
      <c r="D40" t="s">
        <v>10</v>
      </c>
      <c r="E40">
        <v>-71.939393939394506</v>
      </c>
    </row>
    <row r="41" spans="1:5" x14ac:dyDescent="0.2">
      <c r="A41" s="1">
        <v>42744</v>
      </c>
      <c r="B41">
        <v>40</v>
      </c>
      <c r="C41" t="s">
        <v>12</v>
      </c>
      <c r="D41" t="s">
        <v>10</v>
      </c>
      <c r="E41">
        <v>-81.818181818182495</v>
      </c>
    </row>
    <row r="42" spans="1:5" x14ac:dyDescent="0.2">
      <c r="A42" s="1">
        <v>42745</v>
      </c>
      <c r="B42">
        <v>41</v>
      </c>
      <c r="C42" t="s">
        <v>5</v>
      </c>
      <c r="D42" t="s">
        <v>6</v>
      </c>
      <c r="E42">
        <v>-91.696969696970498</v>
      </c>
    </row>
    <row r="43" spans="1:5" x14ac:dyDescent="0.2">
      <c r="A43" s="1">
        <v>42746</v>
      </c>
      <c r="B43">
        <v>42</v>
      </c>
      <c r="C43" t="s">
        <v>5</v>
      </c>
      <c r="D43" t="s">
        <v>6</v>
      </c>
      <c r="E43">
        <v>-101.575757575759</v>
      </c>
    </row>
    <row r="44" spans="1:5" x14ac:dyDescent="0.2">
      <c r="A44" s="1">
        <v>42747</v>
      </c>
      <c r="B44">
        <v>43</v>
      </c>
      <c r="C44" t="s">
        <v>7</v>
      </c>
      <c r="D44" t="s">
        <v>8</v>
      </c>
      <c r="E44">
        <v>-111.454545454545</v>
      </c>
    </row>
    <row r="45" spans="1:5" x14ac:dyDescent="0.2">
      <c r="A45" s="1">
        <v>42748</v>
      </c>
      <c r="B45">
        <v>44</v>
      </c>
      <c r="C45" t="s">
        <v>7</v>
      </c>
      <c r="D45" t="s">
        <v>8</v>
      </c>
      <c r="E45">
        <v>-121.333333333333</v>
      </c>
    </row>
    <row r="46" spans="1:5" x14ac:dyDescent="0.2">
      <c r="A46" s="1">
        <v>42749</v>
      </c>
      <c r="B46">
        <v>45</v>
      </c>
      <c r="C46" t="s">
        <v>9</v>
      </c>
      <c r="D46" t="s">
        <v>10</v>
      </c>
      <c r="E46">
        <v>-131.21212121212201</v>
      </c>
    </row>
    <row r="47" spans="1:5" x14ac:dyDescent="0.2">
      <c r="A47" s="1">
        <v>42750</v>
      </c>
      <c r="B47">
        <v>46</v>
      </c>
      <c r="C47" t="s">
        <v>9</v>
      </c>
      <c r="D47" t="s">
        <v>10</v>
      </c>
      <c r="E47">
        <v>-141.09090909091</v>
      </c>
    </row>
    <row r="48" spans="1:5" x14ac:dyDescent="0.2">
      <c r="A48" s="1">
        <v>42751</v>
      </c>
      <c r="B48">
        <v>47</v>
      </c>
      <c r="C48" t="s">
        <v>11</v>
      </c>
      <c r="D48" t="s">
        <v>6</v>
      </c>
      <c r="E48">
        <v>-150.96969696969799</v>
      </c>
    </row>
    <row r="49" spans="1:5" x14ac:dyDescent="0.2">
      <c r="A49" s="1">
        <v>42752</v>
      </c>
      <c r="B49">
        <v>48</v>
      </c>
      <c r="C49" t="s">
        <v>11</v>
      </c>
      <c r="D49" t="s">
        <v>6</v>
      </c>
      <c r="E49">
        <v>-160.84848484848499</v>
      </c>
    </row>
    <row r="50" spans="1:5" x14ac:dyDescent="0.2">
      <c r="A50" s="1">
        <v>42753</v>
      </c>
      <c r="B50">
        <v>49</v>
      </c>
      <c r="C50" t="s">
        <v>12</v>
      </c>
      <c r="D50" t="s">
        <v>10</v>
      </c>
      <c r="E50">
        <v>-170.727272727273</v>
      </c>
    </row>
    <row r="51" spans="1:5" x14ac:dyDescent="0.2">
      <c r="A51" s="1">
        <v>42754</v>
      </c>
      <c r="B51">
        <v>50</v>
      </c>
      <c r="C51" t="s">
        <v>12</v>
      </c>
      <c r="D51" t="s">
        <v>10</v>
      </c>
      <c r="E51">
        <v>-180.60606060606099</v>
      </c>
    </row>
    <row r="52" spans="1:5" x14ac:dyDescent="0.2">
      <c r="A52" s="1">
        <v>42755</v>
      </c>
      <c r="B52">
        <v>51</v>
      </c>
      <c r="C52" t="s">
        <v>5</v>
      </c>
      <c r="D52" t="s">
        <v>6</v>
      </c>
      <c r="E52">
        <v>-190.48484848485</v>
      </c>
    </row>
    <row r="53" spans="1:5" x14ac:dyDescent="0.2">
      <c r="A53" s="1">
        <v>42756</v>
      </c>
      <c r="B53">
        <v>52</v>
      </c>
      <c r="C53" t="s">
        <v>5</v>
      </c>
      <c r="D53" t="s">
        <v>6</v>
      </c>
      <c r="E53">
        <v>-200.363636363636</v>
      </c>
    </row>
    <row r="54" spans="1:5" x14ac:dyDescent="0.2">
      <c r="A54" s="1">
        <v>42757</v>
      </c>
      <c r="B54">
        <v>53</v>
      </c>
      <c r="C54" t="s">
        <v>7</v>
      </c>
      <c r="D54" t="s">
        <v>8</v>
      </c>
      <c r="E54">
        <v>-210.24242424242399</v>
      </c>
    </row>
    <row r="55" spans="1:5" x14ac:dyDescent="0.2">
      <c r="A55" s="1">
        <v>42758</v>
      </c>
      <c r="B55">
        <v>54</v>
      </c>
      <c r="C55" t="s">
        <v>7</v>
      </c>
      <c r="D55" t="s">
        <v>8</v>
      </c>
      <c r="E55">
        <v>-220.12121212121201</v>
      </c>
    </row>
    <row r="56" spans="1:5" x14ac:dyDescent="0.2">
      <c r="A56" s="1">
        <v>42759</v>
      </c>
      <c r="B56">
        <v>55</v>
      </c>
      <c r="C56" t="s">
        <v>9</v>
      </c>
      <c r="D56" t="s">
        <v>10</v>
      </c>
      <c r="E56">
        <v>-230</v>
      </c>
    </row>
    <row r="57" spans="1:5" x14ac:dyDescent="0.2">
      <c r="A57" s="1">
        <v>42760</v>
      </c>
      <c r="B57">
        <v>56</v>
      </c>
      <c r="C57" t="s">
        <v>9</v>
      </c>
      <c r="D57" t="s">
        <v>10</v>
      </c>
      <c r="E57">
        <v>-239.87878787878901</v>
      </c>
    </row>
    <row r="58" spans="1:5" x14ac:dyDescent="0.2">
      <c r="A58" s="1">
        <v>42761</v>
      </c>
      <c r="B58">
        <v>57</v>
      </c>
      <c r="C58" t="s">
        <v>11</v>
      </c>
      <c r="D58" t="s">
        <v>6</v>
      </c>
      <c r="E58">
        <v>-249.757575757577</v>
      </c>
    </row>
    <row r="59" spans="1:5" x14ac:dyDescent="0.2">
      <c r="A59" s="1">
        <v>42762</v>
      </c>
      <c r="B59">
        <v>58</v>
      </c>
      <c r="C59" t="s">
        <v>11</v>
      </c>
      <c r="D59" t="s">
        <v>6</v>
      </c>
      <c r="E59">
        <v>-259.63636363636499</v>
      </c>
    </row>
    <row r="60" spans="1:5" x14ac:dyDescent="0.2">
      <c r="A60" s="1">
        <v>42763</v>
      </c>
      <c r="B60">
        <v>59</v>
      </c>
      <c r="C60" t="s">
        <v>12</v>
      </c>
      <c r="D60" t="s">
        <v>10</v>
      </c>
      <c r="E60">
        <v>-269.51515151515298</v>
      </c>
    </row>
    <row r="61" spans="1:5" x14ac:dyDescent="0.2">
      <c r="A61" s="1">
        <v>42764</v>
      </c>
      <c r="B61">
        <v>60</v>
      </c>
      <c r="C61" t="s">
        <v>12</v>
      </c>
      <c r="D61" t="s">
        <v>10</v>
      </c>
      <c r="E61">
        <v>-279.39393939394103</v>
      </c>
    </row>
    <row r="62" spans="1:5" x14ac:dyDescent="0.2">
      <c r="A62" s="1">
        <v>42765</v>
      </c>
      <c r="B62">
        <v>61</v>
      </c>
      <c r="C62" t="s">
        <v>5</v>
      </c>
      <c r="D62" t="s">
        <v>6</v>
      </c>
      <c r="E62">
        <v>-289.27272727272702</v>
      </c>
    </row>
    <row r="63" spans="1:5" x14ac:dyDescent="0.2">
      <c r="A63" s="1">
        <v>42766</v>
      </c>
      <c r="B63">
        <v>62</v>
      </c>
      <c r="C63" t="s">
        <v>5</v>
      </c>
      <c r="D63" t="s">
        <v>6</v>
      </c>
      <c r="E63">
        <v>-299.15151515151501</v>
      </c>
    </row>
    <row r="64" spans="1:5" x14ac:dyDescent="0.2">
      <c r="A64" s="1">
        <v>42767</v>
      </c>
      <c r="B64">
        <v>63</v>
      </c>
      <c r="C64" t="s">
        <v>7</v>
      </c>
      <c r="D64" t="s">
        <v>8</v>
      </c>
      <c r="E64">
        <v>-309.030303030303</v>
      </c>
    </row>
    <row r="65" spans="1:5" x14ac:dyDescent="0.2">
      <c r="A65" s="1">
        <v>42768</v>
      </c>
      <c r="B65">
        <v>64</v>
      </c>
      <c r="C65" t="s">
        <v>7</v>
      </c>
      <c r="D65" t="s">
        <v>8</v>
      </c>
      <c r="E65">
        <v>-318.90909090909201</v>
      </c>
    </row>
    <row r="66" spans="1:5" x14ac:dyDescent="0.2">
      <c r="A66" s="1">
        <v>42769</v>
      </c>
      <c r="B66">
        <v>65</v>
      </c>
      <c r="C66" t="s">
        <v>9</v>
      </c>
      <c r="D66" t="s">
        <v>10</v>
      </c>
      <c r="E66">
        <v>-328.78787878788</v>
      </c>
    </row>
    <row r="67" spans="1:5" x14ac:dyDescent="0.2">
      <c r="A67" s="1">
        <v>42770</v>
      </c>
      <c r="B67">
        <v>66</v>
      </c>
      <c r="C67" t="s">
        <v>9</v>
      </c>
      <c r="D67" t="s">
        <v>10</v>
      </c>
      <c r="E67">
        <v>-338.66666666666799</v>
      </c>
    </row>
    <row r="68" spans="1:5" x14ac:dyDescent="0.2">
      <c r="A68" s="1">
        <v>42771</v>
      </c>
      <c r="B68">
        <v>67</v>
      </c>
      <c r="C68" t="s">
        <v>11</v>
      </c>
      <c r="D68" t="s">
        <v>6</v>
      </c>
      <c r="E68">
        <v>-348.54545454545598</v>
      </c>
    </row>
    <row r="69" spans="1:5" x14ac:dyDescent="0.2">
      <c r="A69" s="1">
        <v>42772</v>
      </c>
      <c r="B69">
        <v>68</v>
      </c>
      <c r="C69" t="s">
        <v>11</v>
      </c>
      <c r="D69" t="s">
        <v>6</v>
      </c>
      <c r="E69">
        <v>-358.42424242424403</v>
      </c>
    </row>
    <row r="70" spans="1:5" x14ac:dyDescent="0.2">
      <c r="A70" s="1">
        <v>42773</v>
      </c>
      <c r="B70">
        <v>69</v>
      </c>
      <c r="C70" t="s">
        <v>12</v>
      </c>
      <c r="D70" t="s">
        <v>10</v>
      </c>
      <c r="E70">
        <v>-368.30303030303202</v>
      </c>
    </row>
    <row r="71" spans="1:5" x14ac:dyDescent="0.2">
      <c r="A71" s="1">
        <v>42774</v>
      </c>
      <c r="B71">
        <v>70</v>
      </c>
      <c r="C71" t="s">
        <v>12</v>
      </c>
      <c r="D71" t="s">
        <v>10</v>
      </c>
      <c r="E71">
        <v>-378.18181818181898</v>
      </c>
    </row>
    <row r="72" spans="1:5" x14ac:dyDescent="0.2">
      <c r="A72" s="1">
        <v>42775</v>
      </c>
      <c r="B72">
        <v>71</v>
      </c>
      <c r="C72" t="s">
        <v>5</v>
      </c>
      <c r="D72" t="s">
        <v>6</v>
      </c>
      <c r="E72">
        <v>-388.06060606060601</v>
      </c>
    </row>
    <row r="73" spans="1:5" x14ac:dyDescent="0.2">
      <c r="A73" s="1">
        <v>42776</v>
      </c>
      <c r="B73">
        <v>72</v>
      </c>
      <c r="C73" t="s">
        <v>5</v>
      </c>
      <c r="D73" t="s">
        <v>6</v>
      </c>
      <c r="E73">
        <v>-397.93939393939399</v>
      </c>
    </row>
    <row r="74" spans="1:5" x14ac:dyDescent="0.2">
      <c r="A74" s="1">
        <v>42777</v>
      </c>
      <c r="B74">
        <v>73</v>
      </c>
      <c r="C74" t="s">
        <v>7</v>
      </c>
      <c r="D74" t="s">
        <v>8</v>
      </c>
      <c r="E74">
        <v>-407.81818181818301</v>
      </c>
    </row>
    <row r="75" spans="1:5" x14ac:dyDescent="0.2">
      <c r="A75" s="1">
        <v>42778</v>
      </c>
      <c r="B75">
        <v>74</v>
      </c>
      <c r="C75" t="s">
        <v>7</v>
      </c>
      <c r="D75" t="s">
        <v>8</v>
      </c>
      <c r="E75">
        <v>-417.696969696971</v>
      </c>
    </row>
    <row r="76" spans="1:5" x14ac:dyDescent="0.2">
      <c r="A76" s="1">
        <v>42779</v>
      </c>
      <c r="B76">
        <v>75</v>
      </c>
      <c r="C76" t="s">
        <v>9</v>
      </c>
      <c r="D76" t="s">
        <v>10</v>
      </c>
      <c r="E76">
        <v>-427.57575757575898</v>
      </c>
    </row>
    <row r="77" spans="1:5" x14ac:dyDescent="0.2">
      <c r="A77" s="1">
        <v>42780</v>
      </c>
      <c r="B77">
        <v>76</v>
      </c>
      <c r="C77" t="s">
        <v>9</v>
      </c>
      <c r="D77" t="s">
        <v>10</v>
      </c>
      <c r="E77">
        <v>-437.45454545454697</v>
      </c>
    </row>
    <row r="78" spans="1:5" x14ac:dyDescent="0.2">
      <c r="A78" s="1">
        <v>42781</v>
      </c>
      <c r="B78">
        <v>77</v>
      </c>
      <c r="C78" t="s">
        <v>11</v>
      </c>
      <c r="D78" t="s">
        <v>6</v>
      </c>
      <c r="E78">
        <v>-447.33333333333502</v>
      </c>
    </row>
    <row r="79" spans="1:5" x14ac:dyDescent="0.2">
      <c r="A79" s="1">
        <v>42782</v>
      </c>
      <c r="B79">
        <v>78</v>
      </c>
      <c r="C79" t="s">
        <v>11</v>
      </c>
      <c r="D79" t="s">
        <v>6</v>
      </c>
      <c r="E79">
        <v>-457.21212121212199</v>
      </c>
    </row>
    <row r="80" spans="1:5" x14ac:dyDescent="0.2">
      <c r="A80" s="1">
        <v>42783</v>
      </c>
      <c r="B80">
        <v>79</v>
      </c>
      <c r="C80" t="s">
        <v>12</v>
      </c>
      <c r="D80" t="s">
        <v>10</v>
      </c>
      <c r="E80">
        <v>-467.09090909090997</v>
      </c>
    </row>
    <row r="81" spans="1:5" x14ac:dyDescent="0.2">
      <c r="A81" s="1">
        <v>42784</v>
      </c>
      <c r="B81">
        <v>80</v>
      </c>
      <c r="C81" t="s">
        <v>12</v>
      </c>
      <c r="D81" t="s">
        <v>10</v>
      </c>
      <c r="E81">
        <v>-476.969696969697</v>
      </c>
    </row>
    <row r="82" spans="1:5" x14ac:dyDescent="0.2">
      <c r="A82" s="1">
        <v>42785</v>
      </c>
      <c r="B82">
        <v>81</v>
      </c>
      <c r="C82" t="s">
        <v>5</v>
      </c>
      <c r="D82" t="s">
        <v>6</v>
      </c>
      <c r="E82">
        <v>-486.84848484848601</v>
      </c>
    </row>
    <row r="83" spans="1:5" x14ac:dyDescent="0.2">
      <c r="A83" s="1">
        <v>42786</v>
      </c>
      <c r="B83">
        <v>82</v>
      </c>
      <c r="C83" t="s">
        <v>5</v>
      </c>
      <c r="D83" t="s">
        <v>6</v>
      </c>
      <c r="E83">
        <v>-496.727272727274</v>
      </c>
    </row>
    <row r="84" spans="1:5" x14ac:dyDescent="0.2">
      <c r="A84" s="1">
        <v>42787</v>
      </c>
      <c r="B84">
        <v>83</v>
      </c>
      <c r="C84" t="s">
        <v>7</v>
      </c>
      <c r="D84" t="s">
        <v>8</v>
      </c>
      <c r="E84">
        <v>-506.60606060606199</v>
      </c>
    </row>
    <row r="85" spans="1:5" x14ac:dyDescent="0.2">
      <c r="A85" s="1">
        <v>42788</v>
      </c>
      <c r="B85">
        <v>84</v>
      </c>
      <c r="C85" t="s">
        <v>7</v>
      </c>
      <c r="D85" t="s">
        <v>8</v>
      </c>
      <c r="E85">
        <v>-516.48484848484998</v>
      </c>
    </row>
    <row r="86" spans="1:5" x14ac:dyDescent="0.2">
      <c r="A86" s="1">
        <v>42789</v>
      </c>
      <c r="B86">
        <v>85</v>
      </c>
      <c r="C86" t="s">
        <v>9</v>
      </c>
      <c r="D86" t="s">
        <v>10</v>
      </c>
      <c r="E86">
        <v>-526.36363636363797</v>
      </c>
    </row>
    <row r="87" spans="1:5" x14ac:dyDescent="0.2">
      <c r="A87" s="1">
        <v>42790</v>
      </c>
      <c r="B87">
        <v>86</v>
      </c>
      <c r="C87" t="s">
        <v>9</v>
      </c>
      <c r="D87" t="s">
        <v>10</v>
      </c>
      <c r="E87">
        <v>-536.24242424242505</v>
      </c>
    </row>
    <row r="88" spans="1:5" x14ac:dyDescent="0.2">
      <c r="A88" s="1">
        <v>42791</v>
      </c>
      <c r="B88">
        <v>87</v>
      </c>
      <c r="C88" t="s">
        <v>11</v>
      </c>
      <c r="D88" t="s">
        <v>6</v>
      </c>
      <c r="E88">
        <v>-546.12121212121303</v>
      </c>
    </row>
    <row r="89" spans="1:5" x14ac:dyDescent="0.2">
      <c r="A89" s="1">
        <v>42792</v>
      </c>
      <c r="B89">
        <v>88</v>
      </c>
      <c r="C89" t="s">
        <v>11</v>
      </c>
      <c r="D89" t="s">
        <v>6</v>
      </c>
      <c r="E89">
        <v>-556.00000000000102</v>
      </c>
    </row>
    <row r="90" spans="1:5" x14ac:dyDescent="0.2">
      <c r="A90" s="1">
        <v>42793</v>
      </c>
      <c r="B90">
        <v>89</v>
      </c>
      <c r="C90" t="s">
        <v>12</v>
      </c>
      <c r="D90" t="s">
        <v>10</v>
      </c>
      <c r="E90">
        <v>-565.87878787878901</v>
      </c>
    </row>
    <row r="91" spans="1:5" x14ac:dyDescent="0.2">
      <c r="A91" s="1">
        <v>42794</v>
      </c>
      <c r="B91">
        <v>90</v>
      </c>
      <c r="C91" t="s">
        <v>12</v>
      </c>
      <c r="D91" t="s">
        <v>10</v>
      </c>
      <c r="E91">
        <v>-575.757575757577</v>
      </c>
    </row>
    <row r="92" spans="1:5" x14ac:dyDescent="0.2">
      <c r="A92" s="1">
        <v>42795</v>
      </c>
      <c r="B92">
        <v>91</v>
      </c>
      <c r="C92" t="s">
        <v>5</v>
      </c>
      <c r="D92" t="s">
        <v>6</v>
      </c>
      <c r="E92">
        <v>-585.63636363636499</v>
      </c>
    </row>
    <row r="93" spans="1:5" x14ac:dyDescent="0.2">
      <c r="A93" s="1">
        <v>42796</v>
      </c>
      <c r="B93">
        <v>92</v>
      </c>
      <c r="C93" t="s">
        <v>5</v>
      </c>
      <c r="D93" t="s">
        <v>6</v>
      </c>
      <c r="E93">
        <v>-595.51515151515298</v>
      </c>
    </row>
    <row r="94" spans="1:5" x14ac:dyDescent="0.2">
      <c r="A94" s="1">
        <v>42797</v>
      </c>
      <c r="B94">
        <v>93</v>
      </c>
      <c r="C94" t="s">
        <v>7</v>
      </c>
      <c r="D94" t="s">
        <v>8</v>
      </c>
      <c r="E94">
        <v>-605.39393939394097</v>
      </c>
    </row>
    <row r="95" spans="1:5" x14ac:dyDescent="0.2">
      <c r="A95" s="1">
        <v>42798</v>
      </c>
      <c r="B95">
        <v>94</v>
      </c>
      <c r="C95" t="s">
        <v>7</v>
      </c>
      <c r="D95" t="s">
        <v>8</v>
      </c>
      <c r="E95">
        <v>-615.27272727272896</v>
      </c>
    </row>
    <row r="96" spans="1:5" x14ac:dyDescent="0.2">
      <c r="A96" s="1">
        <v>42799</v>
      </c>
      <c r="B96">
        <v>95</v>
      </c>
      <c r="C96" t="s">
        <v>9</v>
      </c>
      <c r="D96" t="s">
        <v>10</v>
      </c>
      <c r="E96">
        <v>-625.15151515151604</v>
      </c>
    </row>
    <row r="97" spans="1:5" x14ac:dyDescent="0.2">
      <c r="A97" s="1">
        <v>42800</v>
      </c>
      <c r="B97">
        <v>96</v>
      </c>
      <c r="C97" t="s">
        <v>9</v>
      </c>
      <c r="D97" t="s">
        <v>10</v>
      </c>
      <c r="E97">
        <v>-635.03030303030403</v>
      </c>
    </row>
    <row r="98" spans="1:5" x14ac:dyDescent="0.2">
      <c r="A98" s="1">
        <v>42801</v>
      </c>
      <c r="B98">
        <v>97</v>
      </c>
      <c r="C98" t="s">
        <v>11</v>
      </c>
      <c r="D98" t="s">
        <v>6</v>
      </c>
      <c r="E98">
        <v>-644.90909090909201</v>
      </c>
    </row>
    <row r="99" spans="1:5" x14ac:dyDescent="0.2">
      <c r="A99" s="1">
        <v>42802</v>
      </c>
      <c r="B99">
        <v>98</v>
      </c>
      <c r="C99" t="s">
        <v>11</v>
      </c>
      <c r="D99" t="s">
        <v>6</v>
      </c>
      <c r="E99">
        <v>-654.78787878788</v>
      </c>
    </row>
    <row r="100" spans="1:5" x14ac:dyDescent="0.2">
      <c r="A100" s="1">
        <v>42803</v>
      </c>
      <c r="B100">
        <v>99</v>
      </c>
      <c r="C100" t="s">
        <v>12</v>
      </c>
      <c r="D100" t="s">
        <v>10</v>
      </c>
      <c r="E100">
        <v>-664.66666666666799</v>
      </c>
    </row>
    <row r="101" spans="1:5" x14ac:dyDescent="0.2">
      <c r="A101" s="1">
        <v>42804</v>
      </c>
      <c r="B101">
        <v>100</v>
      </c>
      <c r="C101" t="s">
        <v>12</v>
      </c>
      <c r="D101" t="s">
        <v>10</v>
      </c>
      <c r="E101">
        <v>-674.54545454545598</v>
      </c>
    </row>
    <row r="102" spans="1:5" x14ac:dyDescent="0.2">
      <c r="A102" s="1">
        <v>42805</v>
      </c>
      <c r="B102">
        <v>101</v>
      </c>
      <c r="C102" t="s">
        <v>5</v>
      </c>
      <c r="D102" t="s">
        <v>6</v>
      </c>
      <c r="E102">
        <v>-684.42424242424397</v>
      </c>
    </row>
    <row r="103" spans="1:5" x14ac:dyDescent="0.2">
      <c r="A103" s="1">
        <v>42806</v>
      </c>
      <c r="B103">
        <v>102</v>
      </c>
      <c r="C103" t="s">
        <v>5</v>
      </c>
      <c r="D103" t="s">
        <v>6</v>
      </c>
      <c r="E103">
        <v>-694.30303030303196</v>
      </c>
    </row>
    <row r="104" spans="1:5" x14ac:dyDescent="0.2">
      <c r="A104" s="1">
        <v>42807</v>
      </c>
      <c r="B104">
        <v>103</v>
      </c>
      <c r="C104" t="s">
        <v>7</v>
      </c>
      <c r="D104" t="s">
        <v>8</v>
      </c>
      <c r="E104">
        <v>-704.18181818181404</v>
      </c>
    </row>
    <row r="105" spans="1:5" x14ac:dyDescent="0.2">
      <c r="A105" s="1">
        <v>42808</v>
      </c>
      <c r="B105">
        <v>104</v>
      </c>
      <c r="C105" t="s">
        <v>7</v>
      </c>
      <c r="D105" t="s">
        <v>8</v>
      </c>
      <c r="E105">
        <v>-714.06060606060498</v>
      </c>
    </row>
    <row r="106" spans="1:5" x14ac:dyDescent="0.2">
      <c r="A106" s="1">
        <v>42809</v>
      </c>
      <c r="B106">
        <v>105</v>
      </c>
      <c r="C106" t="s">
        <v>9</v>
      </c>
      <c r="D106" t="s">
        <v>10</v>
      </c>
      <c r="E106">
        <v>-723.93939393939399</v>
      </c>
    </row>
    <row r="107" spans="1:5" x14ac:dyDescent="0.2">
      <c r="A107" s="1">
        <v>42810</v>
      </c>
      <c r="B107">
        <v>106</v>
      </c>
      <c r="C107" t="s">
        <v>9</v>
      </c>
      <c r="D107" t="s">
        <v>10</v>
      </c>
      <c r="E107">
        <v>-733.81818181818403</v>
      </c>
    </row>
  </sheetData>
  <pageMargins left="0.7" right="0.7" top="0.75" bottom="0.75" header="0.3" footer="0.3"/>
  <pageSetup orientation="portrait" verticalDpi="0" r:id="rId1"/>
  <headerFooter>
    <oddHeader>&amp;L&amp;A&amp;C&amp;F&amp;R&amp;Z&amp;F</oddHeader>
    <oddFooter>&amp;C&amp;P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107"/>
  <sheetViews>
    <sheetView zoomScale="115" zoomScaleNormal="115" workbookViewId="0">
      <selection activeCell="C8" sqref="C8"/>
    </sheetView>
  </sheetViews>
  <sheetFormatPr defaultRowHeight="14.25" x14ac:dyDescent="0.2"/>
  <cols>
    <col min="1" max="1" width="6.5" style="12" customWidth="1"/>
    <col min="2" max="2" width="15.5" customWidth="1"/>
    <col min="3" max="3" width="10.875" customWidth="1"/>
    <col min="4" max="4" width="12.25" customWidth="1"/>
    <col min="6" max="6" width="10" customWidth="1"/>
  </cols>
  <sheetData>
    <row r="1" spans="1:9" x14ac:dyDescent="0.2">
      <c r="A1" s="13" t="s">
        <v>55</v>
      </c>
      <c r="B1" s="13" t="s">
        <v>73</v>
      </c>
      <c r="C1" s="13" t="s">
        <v>46</v>
      </c>
      <c r="D1" s="13" t="s">
        <v>74</v>
      </c>
      <c r="E1" s="13" t="s">
        <v>47</v>
      </c>
      <c r="F1" s="13" t="s">
        <v>48</v>
      </c>
      <c r="G1" s="13" t="s">
        <v>49</v>
      </c>
      <c r="H1" s="13" t="s">
        <v>79</v>
      </c>
      <c r="I1" s="13" t="s">
        <v>80</v>
      </c>
    </row>
    <row r="2" spans="1:9" x14ac:dyDescent="0.2">
      <c r="A2" s="14">
        <v>1</v>
      </c>
      <c r="B2" s="15" t="s">
        <v>56</v>
      </c>
      <c r="C2" s="15" t="s">
        <v>50</v>
      </c>
      <c r="D2" s="15" t="s">
        <v>75</v>
      </c>
      <c r="E2" s="15">
        <v>32</v>
      </c>
      <c r="F2" s="16" t="s">
        <v>51</v>
      </c>
      <c r="G2" s="15">
        <v>1562</v>
      </c>
      <c r="H2" s="18"/>
      <c r="I2" s="18"/>
    </row>
    <row r="3" spans="1:9" x14ac:dyDescent="0.2">
      <c r="A3" s="14">
        <v>2</v>
      </c>
      <c r="B3" s="15" t="s">
        <v>57</v>
      </c>
      <c r="C3" s="15" t="s">
        <v>50</v>
      </c>
      <c r="D3" s="15" t="s">
        <v>76</v>
      </c>
      <c r="E3" s="15">
        <v>25</v>
      </c>
      <c r="F3" s="15" t="s">
        <v>52</v>
      </c>
      <c r="G3" s="15">
        <v>1582</v>
      </c>
      <c r="H3" s="18"/>
      <c r="I3" s="18"/>
    </row>
    <row r="4" spans="1:9" x14ac:dyDescent="0.2">
      <c r="A4" s="14">
        <v>3</v>
      </c>
      <c r="B4" s="15" t="s">
        <v>58</v>
      </c>
      <c r="C4" s="15" t="s">
        <v>53</v>
      </c>
      <c r="D4" s="15" t="s">
        <v>77</v>
      </c>
      <c r="E4" s="15">
        <v>36</v>
      </c>
      <c r="F4" s="15" t="s">
        <v>54</v>
      </c>
      <c r="G4" s="15">
        <v>2587</v>
      </c>
      <c r="H4" s="18"/>
      <c r="I4" s="18"/>
    </row>
    <row r="5" spans="1:9" x14ac:dyDescent="0.2">
      <c r="A5" s="14">
        <v>4</v>
      </c>
      <c r="B5" s="15" t="s">
        <v>59</v>
      </c>
      <c r="C5" s="15" t="s">
        <v>50</v>
      </c>
      <c r="D5" s="17" t="s">
        <v>78</v>
      </c>
      <c r="E5" s="15">
        <v>25</v>
      </c>
      <c r="F5" s="16" t="s">
        <v>51</v>
      </c>
      <c r="G5" s="15">
        <v>3549</v>
      </c>
      <c r="H5" s="18"/>
      <c r="I5" s="18"/>
    </row>
    <row r="6" spans="1:9" x14ac:dyDescent="0.2">
      <c r="A6" s="14">
        <v>5</v>
      </c>
      <c r="B6" s="15" t="s">
        <v>60</v>
      </c>
      <c r="C6" s="15" t="s">
        <v>50</v>
      </c>
      <c r="D6" s="15" t="s">
        <v>75</v>
      </c>
      <c r="E6" s="15">
        <v>58</v>
      </c>
      <c r="F6" s="15" t="s">
        <v>52</v>
      </c>
      <c r="G6" s="15">
        <v>2468</v>
      </c>
      <c r="H6" s="18"/>
      <c r="I6" s="18"/>
    </row>
    <row r="7" spans="1:9" x14ac:dyDescent="0.2">
      <c r="A7" s="14">
        <v>6</v>
      </c>
      <c r="B7" s="15" t="s">
        <v>61</v>
      </c>
      <c r="C7" s="17" t="s">
        <v>53</v>
      </c>
      <c r="D7" s="15" t="s">
        <v>76</v>
      </c>
      <c r="E7" s="15">
        <v>24</v>
      </c>
      <c r="F7" s="15" t="s">
        <v>54</v>
      </c>
      <c r="G7" s="15">
        <v>2554</v>
      </c>
      <c r="H7" s="18"/>
      <c r="I7" s="18"/>
    </row>
    <row r="8" spans="1:9" x14ac:dyDescent="0.2">
      <c r="A8" s="14">
        <v>7</v>
      </c>
      <c r="B8" s="15" t="s">
        <v>62</v>
      </c>
      <c r="C8" s="15" t="s">
        <v>50</v>
      </c>
      <c r="D8" s="15" t="s">
        <v>77</v>
      </c>
      <c r="E8" s="15">
        <v>56</v>
      </c>
      <c r="F8" s="16" t="s">
        <v>51</v>
      </c>
      <c r="G8" s="15">
        <v>3598</v>
      </c>
      <c r="H8" s="18"/>
      <c r="I8" s="18"/>
    </row>
    <row r="9" spans="1:9" x14ac:dyDescent="0.2">
      <c r="A9" s="14">
        <v>8</v>
      </c>
      <c r="B9" s="15" t="s">
        <v>63</v>
      </c>
      <c r="C9" s="15" t="s">
        <v>50</v>
      </c>
      <c r="D9" s="17" t="s">
        <v>78</v>
      </c>
      <c r="E9" s="15">
        <v>27</v>
      </c>
      <c r="F9" s="15" t="s">
        <v>52</v>
      </c>
      <c r="G9" s="15">
        <v>2456</v>
      </c>
      <c r="H9" s="18"/>
      <c r="I9" s="18"/>
    </row>
    <row r="10" spans="1:9" x14ac:dyDescent="0.2">
      <c r="A10" s="14">
        <v>9</v>
      </c>
      <c r="B10" s="15" t="s">
        <v>64</v>
      </c>
      <c r="C10" s="15" t="s">
        <v>50</v>
      </c>
      <c r="D10" s="15" t="s">
        <v>75</v>
      </c>
      <c r="E10" s="15">
        <v>40</v>
      </c>
      <c r="F10" s="15" t="s">
        <v>54</v>
      </c>
      <c r="G10" s="15">
        <v>6548</v>
      </c>
      <c r="H10" s="18"/>
      <c r="I10" s="18"/>
    </row>
    <row r="11" spans="1:9" x14ac:dyDescent="0.2">
      <c r="A11" s="14">
        <v>10</v>
      </c>
      <c r="B11" s="15" t="s">
        <v>65</v>
      </c>
      <c r="C11" s="15" t="s">
        <v>50</v>
      </c>
      <c r="D11" s="15" t="s">
        <v>76</v>
      </c>
      <c r="E11" s="15">
        <v>28</v>
      </c>
      <c r="F11" s="15" t="s">
        <v>52</v>
      </c>
      <c r="G11" s="15">
        <v>5486</v>
      </c>
      <c r="H11" s="18"/>
      <c r="I11" s="18"/>
    </row>
    <row r="12" spans="1:9" x14ac:dyDescent="0.2">
      <c r="A12" s="14">
        <v>11</v>
      </c>
      <c r="B12" s="15" t="s">
        <v>66</v>
      </c>
      <c r="C12" s="15" t="s">
        <v>50</v>
      </c>
      <c r="D12" s="15" t="s">
        <v>77</v>
      </c>
      <c r="E12" s="15">
        <v>39</v>
      </c>
      <c r="F12" s="15" t="s">
        <v>54</v>
      </c>
      <c r="G12" s="15">
        <v>1258</v>
      </c>
      <c r="H12" s="18"/>
      <c r="I12" s="18"/>
    </row>
    <row r="13" spans="1:9" x14ac:dyDescent="0.2">
      <c r="A13" s="14">
        <v>12</v>
      </c>
      <c r="B13" s="15" t="s">
        <v>67</v>
      </c>
      <c r="C13" s="15" t="s">
        <v>53</v>
      </c>
      <c r="D13" s="17" t="s">
        <v>78</v>
      </c>
      <c r="E13" s="15">
        <v>38</v>
      </c>
      <c r="F13" s="16" t="s">
        <v>51</v>
      </c>
      <c r="G13" s="15">
        <v>2579</v>
      </c>
      <c r="H13" s="18"/>
      <c r="I13" s="18"/>
    </row>
    <row r="14" spans="1:9" x14ac:dyDescent="0.2">
      <c r="A14" s="14">
        <v>13</v>
      </c>
      <c r="B14" s="15" t="s">
        <v>68</v>
      </c>
      <c r="C14" s="15" t="s">
        <v>50</v>
      </c>
      <c r="D14" s="15" t="s">
        <v>75</v>
      </c>
      <c r="E14" s="15">
        <v>32</v>
      </c>
      <c r="F14" s="15" t="s">
        <v>52</v>
      </c>
      <c r="G14" s="15">
        <v>3256</v>
      </c>
    </row>
    <row r="15" spans="1:9" x14ac:dyDescent="0.2">
      <c r="A15" s="14">
        <v>14</v>
      </c>
      <c r="B15" s="15" t="s">
        <v>69</v>
      </c>
      <c r="C15" s="15" t="s">
        <v>53</v>
      </c>
      <c r="D15" s="15" t="s">
        <v>76</v>
      </c>
      <c r="E15" s="15">
        <v>26</v>
      </c>
      <c r="F15" s="15" t="s">
        <v>54</v>
      </c>
      <c r="G15" s="15">
        <v>2587</v>
      </c>
    </row>
    <row r="16" spans="1:9" x14ac:dyDescent="0.2">
      <c r="A16" s="14">
        <v>15</v>
      </c>
      <c r="B16" s="15" t="s">
        <v>70</v>
      </c>
      <c r="C16" s="15" t="s">
        <v>50</v>
      </c>
      <c r="D16" s="15" t="s">
        <v>77</v>
      </c>
      <c r="E16" s="15">
        <v>31</v>
      </c>
      <c r="F16" s="15" t="s">
        <v>52</v>
      </c>
      <c r="G16" s="15">
        <v>3259</v>
      </c>
    </row>
    <row r="17" spans="1:7" x14ac:dyDescent="0.2">
      <c r="A17" s="14">
        <v>16</v>
      </c>
      <c r="B17" s="15" t="s">
        <v>71</v>
      </c>
      <c r="C17" s="15" t="s">
        <v>50</v>
      </c>
      <c r="D17" s="17" t="s">
        <v>78</v>
      </c>
      <c r="E17" s="15">
        <v>24</v>
      </c>
      <c r="F17" s="15" t="s">
        <v>54</v>
      </c>
      <c r="G17" s="15">
        <v>1546</v>
      </c>
    </row>
    <row r="18" spans="1:7" x14ac:dyDescent="0.2">
      <c r="A18" s="14">
        <v>17</v>
      </c>
      <c r="B18" s="15" t="s">
        <v>72</v>
      </c>
      <c r="C18" s="15" t="s">
        <v>50</v>
      </c>
      <c r="D18" s="15" t="s">
        <v>75</v>
      </c>
      <c r="E18" s="15">
        <v>39</v>
      </c>
      <c r="F18" s="16" t="s">
        <v>51</v>
      </c>
      <c r="G18" s="15">
        <v>3579</v>
      </c>
    </row>
    <row r="19" spans="1:7" x14ac:dyDescent="0.2">
      <c r="A19" s="14">
        <v>18</v>
      </c>
      <c r="B19" s="15" t="s">
        <v>56</v>
      </c>
      <c r="C19" s="15" t="s">
        <v>50</v>
      </c>
      <c r="D19" s="15" t="s">
        <v>76</v>
      </c>
      <c r="E19" s="15">
        <v>28</v>
      </c>
      <c r="F19" s="15" t="s">
        <v>52</v>
      </c>
      <c r="G19" s="15">
        <v>6597</v>
      </c>
    </row>
    <row r="20" spans="1:7" x14ac:dyDescent="0.2">
      <c r="A20" s="14">
        <v>19</v>
      </c>
      <c r="B20" s="15" t="s">
        <v>57</v>
      </c>
      <c r="C20" s="15" t="s">
        <v>50</v>
      </c>
      <c r="D20" s="15" t="s">
        <v>77</v>
      </c>
      <c r="E20" s="15">
        <v>26</v>
      </c>
      <c r="F20" s="15" t="s">
        <v>54</v>
      </c>
      <c r="G20" s="15">
        <v>9654</v>
      </c>
    </row>
    <row r="21" spans="1:7" x14ac:dyDescent="0.2">
      <c r="A21" s="14">
        <v>20</v>
      </c>
      <c r="B21" s="15" t="s">
        <v>58</v>
      </c>
      <c r="C21" s="15" t="s">
        <v>50</v>
      </c>
      <c r="D21" s="17" t="s">
        <v>78</v>
      </c>
      <c r="E21" s="15">
        <v>46</v>
      </c>
      <c r="F21" s="15" t="s">
        <v>54</v>
      </c>
      <c r="G21" s="15">
        <v>3569</v>
      </c>
    </row>
    <row r="22" spans="1:7" x14ac:dyDescent="0.2">
      <c r="A22" s="14">
        <v>21</v>
      </c>
      <c r="B22" s="15" t="s">
        <v>59</v>
      </c>
      <c r="C22" s="15" t="s">
        <v>50</v>
      </c>
      <c r="D22" s="15" t="s">
        <v>75</v>
      </c>
      <c r="E22" s="15">
        <v>37</v>
      </c>
      <c r="F22" s="16" t="s">
        <v>51</v>
      </c>
      <c r="G22" s="15">
        <v>2564</v>
      </c>
    </row>
    <row r="23" spans="1:7" x14ac:dyDescent="0.2">
      <c r="A23" s="14">
        <v>22</v>
      </c>
      <c r="B23" s="15" t="s">
        <v>60</v>
      </c>
      <c r="C23" s="15" t="s">
        <v>50</v>
      </c>
      <c r="D23" s="15" t="s">
        <v>76</v>
      </c>
      <c r="E23" s="15">
        <v>52</v>
      </c>
      <c r="F23" s="15" t="s">
        <v>52</v>
      </c>
      <c r="G23" s="15">
        <v>8561</v>
      </c>
    </row>
    <row r="24" spans="1:7" x14ac:dyDescent="0.2">
      <c r="A24" s="14">
        <v>23</v>
      </c>
      <c r="B24" s="15" t="s">
        <v>61</v>
      </c>
      <c r="C24" s="15" t="s">
        <v>50</v>
      </c>
      <c r="D24" s="15" t="s">
        <v>77</v>
      </c>
      <c r="E24" s="15">
        <v>46</v>
      </c>
      <c r="F24" s="15" t="s">
        <v>54</v>
      </c>
      <c r="G24" s="15">
        <v>5489</v>
      </c>
    </row>
    <row r="25" spans="1:7" x14ac:dyDescent="0.2">
      <c r="A25" s="14">
        <v>24</v>
      </c>
      <c r="B25" s="15" t="s">
        <v>62</v>
      </c>
      <c r="C25" s="15" t="s">
        <v>50</v>
      </c>
      <c r="D25" s="17" t="s">
        <v>78</v>
      </c>
      <c r="E25" s="15">
        <v>42</v>
      </c>
      <c r="F25" s="15" t="s">
        <v>54</v>
      </c>
      <c r="G25" s="15">
        <v>5489</v>
      </c>
    </row>
    <row r="26" spans="1:7" x14ac:dyDescent="0.2">
      <c r="A26" s="14">
        <v>25</v>
      </c>
      <c r="B26" s="15" t="s">
        <v>63</v>
      </c>
      <c r="C26" s="15" t="s">
        <v>53</v>
      </c>
      <c r="D26" s="15" t="s">
        <v>75</v>
      </c>
      <c r="E26" s="15">
        <v>21</v>
      </c>
      <c r="F26" s="16" t="s">
        <v>51</v>
      </c>
      <c r="G26" s="15">
        <v>6574</v>
      </c>
    </row>
    <row r="27" spans="1:7" x14ac:dyDescent="0.2">
      <c r="A27" s="14">
        <v>26</v>
      </c>
      <c r="B27" s="15" t="s">
        <v>64</v>
      </c>
      <c r="C27" s="15" t="s">
        <v>50</v>
      </c>
      <c r="D27" s="15" t="s">
        <v>76</v>
      </c>
      <c r="E27" s="15">
        <v>28</v>
      </c>
      <c r="F27" s="15" t="s">
        <v>52</v>
      </c>
      <c r="G27" s="15">
        <v>5555</v>
      </c>
    </row>
    <row r="28" spans="1:7" x14ac:dyDescent="0.2">
      <c r="A28" s="14">
        <v>27</v>
      </c>
      <c r="B28" s="15" t="s">
        <v>65</v>
      </c>
      <c r="C28" s="15" t="s">
        <v>50</v>
      </c>
      <c r="D28" s="15" t="s">
        <v>77</v>
      </c>
      <c r="E28" s="15">
        <v>29</v>
      </c>
      <c r="F28" s="15" t="s">
        <v>54</v>
      </c>
      <c r="G28" s="15">
        <v>6125</v>
      </c>
    </row>
    <row r="29" spans="1:7" x14ac:dyDescent="0.2">
      <c r="A29" s="14">
        <v>28</v>
      </c>
      <c r="B29" s="15" t="s">
        <v>66</v>
      </c>
      <c r="C29" s="15" t="s">
        <v>50</v>
      </c>
      <c r="D29" s="17" t="s">
        <v>78</v>
      </c>
      <c r="E29" s="15">
        <v>23</v>
      </c>
      <c r="F29" s="16" t="s">
        <v>51</v>
      </c>
      <c r="G29" s="15">
        <v>5412</v>
      </c>
    </row>
    <row r="30" spans="1:7" x14ac:dyDescent="0.2">
      <c r="A30" s="14">
        <v>29</v>
      </c>
      <c r="B30" s="15" t="s">
        <v>67</v>
      </c>
      <c r="C30" s="15" t="s">
        <v>53</v>
      </c>
      <c r="D30" s="15" t="s">
        <v>75</v>
      </c>
      <c r="E30" s="15">
        <v>41</v>
      </c>
      <c r="F30" s="15" t="s">
        <v>52</v>
      </c>
      <c r="G30" s="15">
        <v>3256</v>
      </c>
    </row>
    <row r="31" spans="1:7" x14ac:dyDescent="0.2">
      <c r="A31" s="14">
        <v>30</v>
      </c>
      <c r="B31" s="15" t="s">
        <v>68</v>
      </c>
      <c r="C31" s="15" t="s">
        <v>50</v>
      </c>
      <c r="D31" s="15" t="s">
        <v>76</v>
      </c>
      <c r="E31" s="15">
        <v>28</v>
      </c>
      <c r="F31" s="15" t="s">
        <v>54</v>
      </c>
      <c r="G31" s="15">
        <v>3264</v>
      </c>
    </row>
    <row r="32" spans="1:7" x14ac:dyDescent="0.2">
      <c r="A32" s="14">
        <v>31</v>
      </c>
      <c r="B32" s="15" t="s">
        <v>69</v>
      </c>
      <c r="C32" s="15" t="s">
        <v>50</v>
      </c>
      <c r="D32" s="15" t="s">
        <v>77</v>
      </c>
      <c r="E32" s="15">
        <v>37</v>
      </c>
      <c r="F32" s="16" t="s">
        <v>51</v>
      </c>
      <c r="G32" s="15">
        <v>4569</v>
      </c>
    </row>
    <row r="33" spans="1:7" x14ac:dyDescent="0.2">
      <c r="A33" s="14">
        <v>32</v>
      </c>
      <c r="B33" s="15" t="s">
        <v>70</v>
      </c>
      <c r="C33" s="15" t="s">
        <v>50</v>
      </c>
      <c r="D33" s="17" t="s">
        <v>78</v>
      </c>
      <c r="E33" s="15">
        <v>34</v>
      </c>
      <c r="F33" s="15" t="s">
        <v>52</v>
      </c>
      <c r="G33" s="15">
        <v>7521</v>
      </c>
    </row>
    <row r="34" spans="1:7" x14ac:dyDescent="0.2">
      <c r="A34" s="14">
        <v>33</v>
      </c>
      <c r="B34" s="15" t="s">
        <v>71</v>
      </c>
      <c r="C34" s="15" t="s">
        <v>50</v>
      </c>
      <c r="D34" s="15" t="s">
        <v>75</v>
      </c>
      <c r="E34" s="15">
        <v>26</v>
      </c>
      <c r="F34" s="15" t="s">
        <v>54</v>
      </c>
      <c r="G34" s="15">
        <v>6458</v>
      </c>
    </row>
    <row r="35" spans="1:7" x14ac:dyDescent="0.2">
      <c r="A35" s="14">
        <v>34</v>
      </c>
      <c r="B35" s="15" t="s">
        <v>72</v>
      </c>
      <c r="C35" s="15" t="s">
        <v>50</v>
      </c>
      <c r="D35" s="15" t="s">
        <v>76</v>
      </c>
      <c r="E35" s="15">
        <v>35</v>
      </c>
      <c r="F35" s="15" t="s">
        <v>52</v>
      </c>
      <c r="G35" s="15">
        <v>7569</v>
      </c>
    </row>
    <row r="36" spans="1:7" x14ac:dyDescent="0.2">
      <c r="A36" s="14">
        <v>35</v>
      </c>
      <c r="B36" s="15" t="s">
        <v>56</v>
      </c>
      <c r="C36" s="15" t="s">
        <v>53</v>
      </c>
      <c r="D36" s="15" t="s">
        <v>77</v>
      </c>
      <c r="E36" s="15">
        <v>36</v>
      </c>
      <c r="F36" s="15" t="s">
        <v>54</v>
      </c>
      <c r="G36" s="15">
        <v>8514</v>
      </c>
    </row>
    <row r="37" spans="1:7" x14ac:dyDescent="0.2">
      <c r="A37" s="14">
        <v>36</v>
      </c>
      <c r="B37" s="15" t="s">
        <v>57</v>
      </c>
      <c r="C37" s="15" t="s">
        <v>50</v>
      </c>
      <c r="D37" s="17" t="s">
        <v>78</v>
      </c>
      <c r="E37" s="15">
        <v>29</v>
      </c>
      <c r="F37" s="16" t="s">
        <v>51</v>
      </c>
      <c r="G37" s="15">
        <v>8563</v>
      </c>
    </row>
    <row r="38" spans="1:7" x14ac:dyDescent="0.2">
      <c r="A38" s="14">
        <v>37</v>
      </c>
      <c r="B38" s="15" t="s">
        <v>58</v>
      </c>
      <c r="C38" s="15" t="s">
        <v>50</v>
      </c>
      <c r="D38" s="15" t="s">
        <v>75</v>
      </c>
      <c r="E38" s="15">
        <v>27</v>
      </c>
      <c r="F38" s="15" t="s">
        <v>52</v>
      </c>
      <c r="G38" s="15">
        <v>8642</v>
      </c>
    </row>
    <row r="39" spans="1:7" x14ac:dyDescent="0.2">
      <c r="A39" s="14">
        <v>38</v>
      </c>
      <c r="B39" s="15" t="s">
        <v>59</v>
      </c>
      <c r="C39" s="15" t="s">
        <v>50</v>
      </c>
      <c r="D39" s="15" t="s">
        <v>76</v>
      </c>
      <c r="E39" s="15">
        <v>25</v>
      </c>
      <c r="F39" s="15" t="s">
        <v>54</v>
      </c>
      <c r="G39" s="15">
        <v>9536</v>
      </c>
    </row>
    <row r="40" spans="1:7" x14ac:dyDescent="0.2">
      <c r="A40" s="14">
        <v>39</v>
      </c>
      <c r="B40" s="15" t="s">
        <v>60</v>
      </c>
      <c r="C40" s="15" t="s">
        <v>50</v>
      </c>
      <c r="D40" s="15" t="s">
        <v>77</v>
      </c>
      <c r="E40" s="15">
        <v>36</v>
      </c>
      <c r="F40" s="15" t="s">
        <v>54</v>
      </c>
      <c r="G40" s="15">
        <v>2567</v>
      </c>
    </row>
    <row r="41" spans="1:7" x14ac:dyDescent="0.2">
      <c r="A41" s="14">
        <v>40</v>
      </c>
      <c r="B41" s="15" t="s">
        <v>61</v>
      </c>
      <c r="C41" s="15" t="s">
        <v>53</v>
      </c>
      <c r="D41" s="17" t="s">
        <v>78</v>
      </c>
      <c r="E41" s="15">
        <v>37</v>
      </c>
      <c r="F41" s="16" t="s">
        <v>51</v>
      </c>
      <c r="G41" s="15">
        <v>2154</v>
      </c>
    </row>
    <row r="42" spans="1:7" x14ac:dyDescent="0.2">
      <c r="A42" s="14">
        <v>41</v>
      </c>
      <c r="B42" s="15" t="s">
        <v>62</v>
      </c>
      <c r="C42" s="15" t="s">
        <v>53</v>
      </c>
      <c r="D42" s="15" t="s">
        <v>75</v>
      </c>
      <c r="E42" s="15">
        <v>26</v>
      </c>
      <c r="F42" s="15" t="s">
        <v>52</v>
      </c>
      <c r="G42" s="15">
        <v>3265</v>
      </c>
    </row>
    <row r="43" spans="1:7" x14ac:dyDescent="0.2">
      <c r="A43" s="14">
        <v>42</v>
      </c>
      <c r="B43" s="15" t="s">
        <v>63</v>
      </c>
      <c r="C43" s="15" t="s">
        <v>50</v>
      </c>
      <c r="D43" s="15" t="s">
        <v>76</v>
      </c>
      <c r="E43" s="15">
        <v>37</v>
      </c>
      <c r="F43" s="15" t="s">
        <v>54</v>
      </c>
      <c r="G43" s="15">
        <v>8765</v>
      </c>
    </row>
    <row r="44" spans="1:7" x14ac:dyDescent="0.2">
      <c r="A44" s="14">
        <v>43</v>
      </c>
      <c r="B44" s="15" t="s">
        <v>64</v>
      </c>
      <c r="C44" s="15" t="s">
        <v>53</v>
      </c>
      <c r="D44" s="15" t="s">
        <v>77</v>
      </c>
      <c r="E44" s="15">
        <v>24</v>
      </c>
      <c r="F44" s="16" t="s">
        <v>51</v>
      </c>
      <c r="G44" s="15">
        <v>3259</v>
      </c>
    </row>
    <row r="45" spans="1:7" x14ac:dyDescent="0.2">
      <c r="A45" s="14">
        <v>44</v>
      </c>
      <c r="B45" s="15" t="s">
        <v>65</v>
      </c>
      <c r="C45" s="15" t="s">
        <v>50</v>
      </c>
      <c r="D45" s="17" t="s">
        <v>78</v>
      </c>
      <c r="E45" s="15">
        <v>39</v>
      </c>
      <c r="F45" s="15" t="s">
        <v>52</v>
      </c>
      <c r="G45" s="15">
        <v>3567</v>
      </c>
    </row>
    <row r="46" spans="1:7" x14ac:dyDescent="0.2">
      <c r="A46" s="14">
        <v>45</v>
      </c>
      <c r="B46" s="15" t="s">
        <v>66</v>
      </c>
      <c r="C46" s="15" t="s">
        <v>53</v>
      </c>
      <c r="D46" s="15" t="s">
        <v>75</v>
      </c>
      <c r="E46" s="15">
        <v>26</v>
      </c>
      <c r="F46" s="15" t="s">
        <v>54</v>
      </c>
      <c r="G46" s="15">
        <v>6540</v>
      </c>
    </row>
    <row r="47" spans="1:7" x14ac:dyDescent="0.2">
      <c r="A47" s="14">
        <v>46</v>
      </c>
      <c r="B47" s="15" t="s">
        <v>67</v>
      </c>
      <c r="C47" s="15" t="s">
        <v>50</v>
      </c>
      <c r="D47" s="15" t="s">
        <v>76</v>
      </c>
      <c r="E47" s="15">
        <v>34</v>
      </c>
      <c r="F47" s="16" t="s">
        <v>51</v>
      </c>
      <c r="G47" s="15">
        <v>2654</v>
      </c>
    </row>
    <row r="48" spans="1:7" x14ac:dyDescent="0.2">
      <c r="A48" s="14">
        <v>47</v>
      </c>
      <c r="B48" s="15" t="s">
        <v>68</v>
      </c>
      <c r="C48" s="15" t="s">
        <v>50</v>
      </c>
      <c r="D48" s="15" t="s">
        <v>77</v>
      </c>
      <c r="E48" s="15">
        <v>28</v>
      </c>
      <c r="F48" s="15" t="s">
        <v>52</v>
      </c>
      <c r="G48" s="15">
        <v>6525</v>
      </c>
    </row>
    <row r="49" spans="1:7" x14ac:dyDescent="0.2">
      <c r="A49" s="14">
        <v>48</v>
      </c>
      <c r="B49" s="15" t="s">
        <v>69</v>
      </c>
      <c r="C49" s="15" t="s">
        <v>50</v>
      </c>
      <c r="D49" s="17" t="s">
        <v>78</v>
      </c>
      <c r="E49" s="15">
        <v>32</v>
      </c>
      <c r="F49" s="15" t="s">
        <v>54</v>
      </c>
      <c r="G49" s="15">
        <v>3265</v>
      </c>
    </row>
    <row r="50" spans="1:7" x14ac:dyDescent="0.2">
      <c r="A50" s="14">
        <v>49</v>
      </c>
      <c r="B50" s="15" t="s">
        <v>70</v>
      </c>
      <c r="C50" s="15" t="s">
        <v>53</v>
      </c>
      <c r="D50" s="15" t="s">
        <v>75</v>
      </c>
      <c r="E50" s="15">
        <v>39</v>
      </c>
      <c r="F50" s="16" t="s">
        <v>51</v>
      </c>
      <c r="G50" s="15">
        <v>3265</v>
      </c>
    </row>
    <row r="51" spans="1:7" x14ac:dyDescent="0.2">
      <c r="A51" s="14">
        <v>50</v>
      </c>
      <c r="B51" s="15" t="s">
        <v>71</v>
      </c>
      <c r="C51" s="15" t="s">
        <v>50</v>
      </c>
      <c r="D51" s="15" t="s">
        <v>76</v>
      </c>
      <c r="E51" s="15">
        <v>29</v>
      </c>
      <c r="F51" s="15" t="s">
        <v>52</v>
      </c>
      <c r="G51" s="15">
        <v>6125</v>
      </c>
    </row>
    <row r="52" spans="1:7" x14ac:dyDescent="0.2">
      <c r="A52" s="14">
        <v>51</v>
      </c>
      <c r="B52" s="15" t="s">
        <v>72</v>
      </c>
      <c r="C52" s="15" t="s">
        <v>50</v>
      </c>
      <c r="D52" s="15" t="s">
        <v>77</v>
      </c>
      <c r="E52" s="15">
        <v>32</v>
      </c>
      <c r="F52" s="16" t="s">
        <v>51</v>
      </c>
      <c r="G52" s="15">
        <v>1562</v>
      </c>
    </row>
    <row r="53" spans="1:7" x14ac:dyDescent="0.2">
      <c r="A53" s="14">
        <v>52</v>
      </c>
      <c r="B53" s="15" t="s">
        <v>56</v>
      </c>
      <c r="C53" s="15" t="s">
        <v>50</v>
      </c>
      <c r="D53" s="17" t="s">
        <v>78</v>
      </c>
      <c r="E53" s="15">
        <v>25</v>
      </c>
      <c r="F53" s="15" t="s">
        <v>52</v>
      </c>
      <c r="G53" s="15">
        <v>1582</v>
      </c>
    </row>
    <row r="54" spans="1:7" x14ac:dyDescent="0.2">
      <c r="A54" s="14">
        <v>53</v>
      </c>
      <c r="B54" s="15" t="s">
        <v>57</v>
      </c>
      <c r="C54" s="15" t="s">
        <v>53</v>
      </c>
      <c r="D54" s="15" t="s">
        <v>75</v>
      </c>
      <c r="E54" s="15">
        <v>36</v>
      </c>
      <c r="F54" s="15" t="s">
        <v>54</v>
      </c>
      <c r="G54" s="15">
        <v>2587</v>
      </c>
    </row>
    <row r="55" spans="1:7" x14ac:dyDescent="0.2">
      <c r="A55" s="14">
        <v>54</v>
      </c>
      <c r="B55" s="15" t="s">
        <v>58</v>
      </c>
      <c r="C55" s="15" t="s">
        <v>50</v>
      </c>
      <c r="D55" s="15" t="s">
        <v>76</v>
      </c>
      <c r="E55" s="15">
        <v>25</v>
      </c>
      <c r="F55" s="16" t="s">
        <v>51</v>
      </c>
      <c r="G55" s="15">
        <v>3549</v>
      </c>
    </row>
    <row r="56" spans="1:7" x14ac:dyDescent="0.2">
      <c r="A56" s="14">
        <v>55</v>
      </c>
      <c r="B56" s="15" t="s">
        <v>59</v>
      </c>
      <c r="C56" s="15" t="s">
        <v>50</v>
      </c>
      <c r="D56" s="15" t="s">
        <v>77</v>
      </c>
      <c r="E56" s="15">
        <v>58</v>
      </c>
      <c r="F56" s="15" t="s">
        <v>52</v>
      </c>
      <c r="G56" s="15">
        <v>2468</v>
      </c>
    </row>
    <row r="57" spans="1:7" x14ac:dyDescent="0.2">
      <c r="A57" s="14">
        <v>56</v>
      </c>
      <c r="B57" s="15" t="s">
        <v>60</v>
      </c>
      <c r="C57" s="17" t="s">
        <v>53</v>
      </c>
      <c r="D57" s="17" t="s">
        <v>78</v>
      </c>
      <c r="E57" s="15">
        <v>24</v>
      </c>
      <c r="F57" s="15" t="s">
        <v>54</v>
      </c>
      <c r="G57" s="15">
        <v>2554</v>
      </c>
    </row>
    <row r="58" spans="1:7" x14ac:dyDescent="0.2">
      <c r="A58" s="14">
        <v>57</v>
      </c>
      <c r="B58" s="15" t="s">
        <v>61</v>
      </c>
      <c r="C58" s="15" t="s">
        <v>50</v>
      </c>
      <c r="D58" s="15" t="s">
        <v>75</v>
      </c>
      <c r="E58" s="15">
        <v>56</v>
      </c>
      <c r="F58" s="16" t="s">
        <v>51</v>
      </c>
      <c r="G58" s="15">
        <v>3598</v>
      </c>
    </row>
    <row r="59" spans="1:7" x14ac:dyDescent="0.2">
      <c r="A59" s="14">
        <v>58</v>
      </c>
      <c r="B59" s="15" t="s">
        <v>62</v>
      </c>
      <c r="C59" s="15" t="s">
        <v>50</v>
      </c>
      <c r="D59" s="15" t="s">
        <v>76</v>
      </c>
      <c r="E59" s="15">
        <v>27</v>
      </c>
      <c r="F59" s="15" t="s">
        <v>52</v>
      </c>
      <c r="G59" s="15">
        <v>2456</v>
      </c>
    </row>
    <row r="60" spans="1:7" x14ac:dyDescent="0.2">
      <c r="A60" s="14">
        <v>59</v>
      </c>
      <c r="B60" s="15" t="s">
        <v>63</v>
      </c>
      <c r="C60" s="15" t="s">
        <v>50</v>
      </c>
      <c r="D60" s="15" t="s">
        <v>77</v>
      </c>
      <c r="E60" s="15">
        <v>40</v>
      </c>
      <c r="F60" s="15" t="s">
        <v>54</v>
      </c>
      <c r="G60" s="15">
        <v>6548</v>
      </c>
    </row>
    <row r="61" spans="1:7" x14ac:dyDescent="0.2">
      <c r="A61" s="14">
        <v>60</v>
      </c>
      <c r="B61" s="15" t="s">
        <v>64</v>
      </c>
      <c r="C61" s="15" t="s">
        <v>50</v>
      </c>
      <c r="D61" s="17" t="s">
        <v>78</v>
      </c>
      <c r="E61" s="15">
        <v>28</v>
      </c>
      <c r="F61" s="15" t="s">
        <v>52</v>
      </c>
      <c r="G61" s="15">
        <v>5486</v>
      </c>
    </row>
    <row r="62" spans="1:7" x14ac:dyDescent="0.2">
      <c r="A62" s="14">
        <v>61</v>
      </c>
      <c r="B62" s="15" t="s">
        <v>65</v>
      </c>
      <c r="C62" s="15" t="s">
        <v>50</v>
      </c>
      <c r="D62" s="15" t="s">
        <v>75</v>
      </c>
      <c r="E62" s="15">
        <v>39</v>
      </c>
      <c r="F62" s="15" t="s">
        <v>54</v>
      </c>
      <c r="G62" s="15">
        <v>1258</v>
      </c>
    </row>
    <row r="63" spans="1:7" x14ac:dyDescent="0.2">
      <c r="A63" s="14">
        <v>62</v>
      </c>
      <c r="B63" s="15" t="s">
        <v>66</v>
      </c>
      <c r="C63" s="15" t="s">
        <v>53</v>
      </c>
      <c r="D63" s="15" t="s">
        <v>76</v>
      </c>
      <c r="E63" s="15">
        <v>38</v>
      </c>
      <c r="F63" s="16" t="s">
        <v>51</v>
      </c>
      <c r="G63" s="15">
        <v>2579</v>
      </c>
    </row>
    <row r="64" spans="1:7" x14ac:dyDescent="0.2">
      <c r="A64" s="14">
        <v>63</v>
      </c>
      <c r="B64" s="15" t="s">
        <v>67</v>
      </c>
      <c r="C64" s="15" t="s">
        <v>50</v>
      </c>
      <c r="D64" s="15" t="s">
        <v>77</v>
      </c>
      <c r="E64" s="15">
        <v>32</v>
      </c>
      <c r="F64" s="15" t="s">
        <v>52</v>
      </c>
      <c r="G64" s="15">
        <v>3256</v>
      </c>
    </row>
    <row r="65" spans="1:7" x14ac:dyDescent="0.2">
      <c r="A65" s="14">
        <v>64</v>
      </c>
      <c r="B65" s="15" t="s">
        <v>68</v>
      </c>
      <c r="C65" s="15" t="s">
        <v>53</v>
      </c>
      <c r="D65" s="17" t="s">
        <v>78</v>
      </c>
      <c r="E65" s="15">
        <v>26</v>
      </c>
      <c r="F65" s="15" t="s">
        <v>54</v>
      </c>
      <c r="G65" s="15">
        <v>2587</v>
      </c>
    </row>
    <row r="66" spans="1:7" x14ac:dyDescent="0.2">
      <c r="A66" s="14">
        <v>65</v>
      </c>
      <c r="B66" s="15" t="s">
        <v>69</v>
      </c>
      <c r="C66" s="15" t="s">
        <v>50</v>
      </c>
      <c r="D66" s="15" t="s">
        <v>75</v>
      </c>
      <c r="E66" s="15">
        <v>31</v>
      </c>
      <c r="F66" s="15" t="s">
        <v>52</v>
      </c>
      <c r="G66" s="15">
        <v>3259</v>
      </c>
    </row>
    <row r="67" spans="1:7" x14ac:dyDescent="0.2">
      <c r="A67" s="14">
        <v>66</v>
      </c>
      <c r="B67" s="15" t="s">
        <v>70</v>
      </c>
      <c r="C67" s="15" t="s">
        <v>50</v>
      </c>
      <c r="D67" s="15" t="s">
        <v>76</v>
      </c>
      <c r="E67" s="15">
        <v>24</v>
      </c>
      <c r="F67" s="15" t="s">
        <v>54</v>
      </c>
      <c r="G67" s="15">
        <v>1546</v>
      </c>
    </row>
    <row r="68" spans="1:7" x14ac:dyDescent="0.2">
      <c r="A68" s="14">
        <v>67</v>
      </c>
      <c r="B68" s="15" t="s">
        <v>71</v>
      </c>
      <c r="C68" s="15" t="s">
        <v>50</v>
      </c>
      <c r="D68" s="15" t="s">
        <v>77</v>
      </c>
      <c r="E68" s="15">
        <v>39</v>
      </c>
      <c r="F68" s="16" t="s">
        <v>51</v>
      </c>
      <c r="G68" s="15">
        <v>3579</v>
      </c>
    </row>
    <row r="69" spans="1:7" x14ac:dyDescent="0.2">
      <c r="A69" s="14">
        <v>68</v>
      </c>
      <c r="B69" s="15" t="s">
        <v>72</v>
      </c>
      <c r="C69" s="15" t="s">
        <v>50</v>
      </c>
      <c r="D69" s="17" t="s">
        <v>78</v>
      </c>
      <c r="E69" s="15">
        <v>28</v>
      </c>
      <c r="F69" s="15" t="s">
        <v>52</v>
      </c>
      <c r="G69" s="15">
        <v>6597</v>
      </c>
    </row>
    <row r="70" spans="1:7" x14ac:dyDescent="0.2">
      <c r="A70" s="14">
        <v>69</v>
      </c>
      <c r="B70" s="15" t="s">
        <v>56</v>
      </c>
      <c r="C70" s="15" t="s">
        <v>50</v>
      </c>
      <c r="D70" s="15" t="s">
        <v>75</v>
      </c>
      <c r="E70" s="15">
        <v>26</v>
      </c>
      <c r="F70" s="15" t="s">
        <v>54</v>
      </c>
      <c r="G70" s="15">
        <v>9654</v>
      </c>
    </row>
    <row r="71" spans="1:7" x14ac:dyDescent="0.2">
      <c r="A71" s="14">
        <v>70</v>
      </c>
      <c r="B71" s="15" t="s">
        <v>57</v>
      </c>
      <c r="C71" s="15" t="s">
        <v>50</v>
      </c>
      <c r="D71" s="15" t="s">
        <v>76</v>
      </c>
      <c r="E71" s="15">
        <v>46</v>
      </c>
      <c r="F71" s="15" t="s">
        <v>54</v>
      </c>
      <c r="G71" s="15">
        <v>3569</v>
      </c>
    </row>
    <row r="72" spans="1:7" x14ac:dyDescent="0.2">
      <c r="A72" s="14">
        <v>71</v>
      </c>
      <c r="B72" s="15" t="s">
        <v>58</v>
      </c>
      <c r="C72" s="15" t="s">
        <v>50</v>
      </c>
      <c r="D72" s="15" t="s">
        <v>77</v>
      </c>
      <c r="E72" s="15">
        <v>37</v>
      </c>
      <c r="F72" s="16" t="s">
        <v>51</v>
      </c>
      <c r="G72" s="15">
        <v>2564</v>
      </c>
    </row>
    <row r="73" spans="1:7" x14ac:dyDescent="0.2">
      <c r="A73" s="14">
        <v>72</v>
      </c>
      <c r="B73" s="15" t="s">
        <v>59</v>
      </c>
      <c r="C73" s="15" t="s">
        <v>50</v>
      </c>
      <c r="D73" s="17" t="s">
        <v>78</v>
      </c>
      <c r="E73" s="15">
        <v>52</v>
      </c>
      <c r="F73" s="15" t="s">
        <v>52</v>
      </c>
      <c r="G73" s="15">
        <v>8561</v>
      </c>
    </row>
    <row r="74" spans="1:7" x14ac:dyDescent="0.2">
      <c r="A74" s="14">
        <v>73</v>
      </c>
      <c r="B74" s="15" t="s">
        <v>60</v>
      </c>
      <c r="C74" s="15" t="s">
        <v>50</v>
      </c>
      <c r="D74" s="15" t="s">
        <v>75</v>
      </c>
      <c r="E74" s="15">
        <v>46</v>
      </c>
      <c r="F74" s="15" t="s">
        <v>54</v>
      </c>
      <c r="G74" s="15">
        <v>5489</v>
      </c>
    </row>
    <row r="75" spans="1:7" x14ac:dyDescent="0.2">
      <c r="A75" s="14">
        <v>74</v>
      </c>
      <c r="B75" s="15" t="s">
        <v>61</v>
      </c>
      <c r="C75" s="15" t="s">
        <v>50</v>
      </c>
      <c r="D75" s="15" t="s">
        <v>76</v>
      </c>
      <c r="E75" s="15">
        <v>42</v>
      </c>
      <c r="F75" s="15" t="s">
        <v>54</v>
      </c>
      <c r="G75" s="15">
        <v>5489</v>
      </c>
    </row>
    <row r="76" spans="1:7" x14ac:dyDescent="0.2">
      <c r="A76" s="14">
        <v>75</v>
      </c>
      <c r="B76" s="15" t="s">
        <v>62</v>
      </c>
      <c r="C76" s="15" t="s">
        <v>53</v>
      </c>
      <c r="D76" s="15" t="s">
        <v>77</v>
      </c>
      <c r="E76" s="15">
        <v>21</v>
      </c>
      <c r="F76" s="16" t="s">
        <v>51</v>
      </c>
      <c r="G76" s="15">
        <v>6574</v>
      </c>
    </row>
    <row r="77" spans="1:7" x14ac:dyDescent="0.2">
      <c r="A77" s="14">
        <v>76</v>
      </c>
      <c r="B77" s="15" t="s">
        <v>63</v>
      </c>
      <c r="C77" s="15" t="s">
        <v>50</v>
      </c>
      <c r="D77" s="17" t="s">
        <v>78</v>
      </c>
      <c r="E77" s="15">
        <v>28</v>
      </c>
      <c r="F77" s="15" t="s">
        <v>52</v>
      </c>
      <c r="G77" s="15">
        <v>5555</v>
      </c>
    </row>
    <row r="78" spans="1:7" x14ac:dyDescent="0.2">
      <c r="A78" s="14">
        <v>77</v>
      </c>
      <c r="B78" s="15" t="s">
        <v>64</v>
      </c>
      <c r="C78" s="15" t="s">
        <v>50</v>
      </c>
      <c r="D78" s="15" t="s">
        <v>75</v>
      </c>
      <c r="E78" s="15">
        <v>29</v>
      </c>
      <c r="F78" s="15" t="s">
        <v>54</v>
      </c>
      <c r="G78" s="15">
        <v>6125</v>
      </c>
    </row>
    <row r="79" spans="1:7" x14ac:dyDescent="0.2">
      <c r="A79" s="14">
        <v>78</v>
      </c>
      <c r="B79" s="15" t="s">
        <v>65</v>
      </c>
      <c r="C79" s="15" t="s">
        <v>50</v>
      </c>
      <c r="D79" s="15" t="s">
        <v>76</v>
      </c>
      <c r="E79" s="15">
        <v>23</v>
      </c>
      <c r="F79" s="16" t="s">
        <v>51</v>
      </c>
      <c r="G79" s="15">
        <v>5412</v>
      </c>
    </row>
    <row r="80" spans="1:7" x14ac:dyDescent="0.2">
      <c r="A80" s="14">
        <v>79</v>
      </c>
      <c r="B80" s="15" t="s">
        <v>66</v>
      </c>
      <c r="C80" s="15" t="s">
        <v>53</v>
      </c>
      <c r="D80" s="15" t="s">
        <v>77</v>
      </c>
      <c r="E80" s="15">
        <v>41</v>
      </c>
      <c r="F80" s="15" t="s">
        <v>52</v>
      </c>
      <c r="G80" s="15">
        <v>3256</v>
      </c>
    </row>
    <row r="81" spans="1:7" x14ac:dyDescent="0.2">
      <c r="A81" s="14">
        <v>80</v>
      </c>
      <c r="B81" s="15" t="s">
        <v>67</v>
      </c>
      <c r="C81" s="15" t="s">
        <v>50</v>
      </c>
      <c r="D81" s="17" t="s">
        <v>78</v>
      </c>
      <c r="E81" s="15">
        <v>28</v>
      </c>
      <c r="F81" s="15" t="s">
        <v>54</v>
      </c>
      <c r="G81" s="15">
        <v>3264</v>
      </c>
    </row>
    <row r="82" spans="1:7" x14ac:dyDescent="0.2">
      <c r="A82" s="14">
        <v>81</v>
      </c>
      <c r="B82" s="15" t="s">
        <v>68</v>
      </c>
      <c r="C82" s="15" t="s">
        <v>50</v>
      </c>
      <c r="D82" s="15" t="s">
        <v>75</v>
      </c>
      <c r="E82" s="15">
        <v>37</v>
      </c>
      <c r="F82" s="16" t="s">
        <v>51</v>
      </c>
      <c r="G82" s="15">
        <v>4569</v>
      </c>
    </row>
    <row r="83" spans="1:7" x14ac:dyDescent="0.2">
      <c r="A83" s="14">
        <v>82</v>
      </c>
      <c r="B83" s="15" t="s">
        <v>69</v>
      </c>
      <c r="C83" s="15" t="s">
        <v>50</v>
      </c>
      <c r="D83" s="15" t="s">
        <v>76</v>
      </c>
      <c r="E83" s="15">
        <v>34</v>
      </c>
      <c r="F83" s="15" t="s">
        <v>52</v>
      </c>
      <c r="G83" s="15">
        <v>7521</v>
      </c>
    </row>
    <row r="84" spans="1:7" x14ac:dyDescent="0.2">
      <c r="A84" s="14">
        <v>83</v>
      </c>
      <c r="B84" s="15" t="s">
        <v>70</v>
      </c>
      <c r="C84" s="15" t="s">
        <v>50</v>
      </c>
      <c r="D84" s="15" t="s">
        <v>77</v>
      </c>
      <c r="E84" s="15">
        <v>26</v>
      </c>
      <c r="F84" s="15" t="s">
        <v>54</v>
      </c>
      <c r="G84" s="15">
        <v>6458</v>
      </c>
    </row>
    <row r="85" spans="1:7" x14ac:dyDescent="0.2">
      <c r="A85" s="14">
        <v>84</v>
      </c>
      <c r="B85" s="15" t="s">
        <v>71</v>
      </c>
      <c r="C85" s="15" t="s">
        <v>50</v>
      </c>
      <c r="D85" s="17" t="s">
        <v>78</v>
      </c>
      <c r="E85" s="15">
        <v>35</v>
      </c>
      <c r="F85" s="15" t="s">
        <v>52</v>
      </c>
      <c r="G85" s="15">
        <v>7569</v>
      </c>
    </row>
    <row r="86" spans="1:7" x14ac:dyDescent="0.2">
      <c r="A86" s="14">
        <v>85</v>
      </c>
      <c r="B86" s="15" t="s">
        <v>72</v>
      </c>
      <c r="C86" s="15" t="s">
        <v>53</v>
      </c>
      <c r="D86" s="15" t="s">
        <v>75</v>
      </c>
      <c r="E86" s="15">
        <v>36</v>
      </c>
      <c r="F86" s="15" t="s">
        <v>54</v>
      </c>
      <c r="G86" s="15">
        <v>8514</v>
      </c>
    </row>
    <row r="87" spans="1:7" x14ac:dyDescent="0.2">
      <c r="A87" s="14">
        <v>86</v>
      </c>
      <c r="B87" s="15" t="s">
        <v>56</v>
      </c>
      <c r="C87" s="15" t="s">
        <v>50</v>
      </c>
      <c r="D87" s="15" t="s">
        <v>76</v>
      </c>
      <c r="E87" s="15">
        <v>29</v>
      </c>
      <c r="F87" s="16" t="s">
        <v>51</v>
      </c>
      <c r="G87" s="15">
        <v>8563</v>
      </c>
    </row>
    <row r="88" spans="1:7" x14ac:dyDescent="0.2">
      <c r="A88" s="14">
        <v>87</v>
      </c>
      <c r="B88" s="15" t="s">
        <v>57</v>
      </c>
      <c r="C88" s="15" t="s">
        <v>50</v>
      </c>
      <c r="D88" s="15" t="s">
        <v>77</v>
      </c>
      <c r="E88" s="15">
        <v>27</v>
      </c>
      <c r="F88" s="15" t="s">
        <v>52</v>
      </c>
      <c r="G88" s="15">
        <v>8642</v>
      </c>
    </row>
    <row r="89" spans="1:7" x14ac:dyDescent="0.2">
      <c r="A89" s="14">
        <v>88</v>
      </c>
      <c r="B89" s="15" t="s">
        <v>58</v>
      </c>
      <c r="C89" s="15" t="s">
        <v>50</v>
      </c>
      <c r="D89" s="17" t="s">
        <v>78</v>
      </c>
      <c r="E89" s="15">
        <v>25</v>
      </c>
      <c r="F89" s="15" t="s">
        <v>54</v>
      </c>
      <c r="G89" s="15">
        <v>9536</v>
      </c>
    </row>
    <row r="90" spans="1:7" x14ac:dyDescent="0.2">
      <c r="A90" s="14">
        <v>89</v>
      </c>
      <c r="B90" s="15" t="s">
        <v>59</v>
      </c>
      <c r="C90" s="15" t="s">
        <v>50</v>
      </c>
      <c r="D90" s="15" t="s">
        <v>75</v>
      </c>
      <c r="E90" s="15">
        <v>36</v>
      </c>
      <c r="F90" s="15" t="s">
        <v>54</v>
      </c>
      <c r="G90" s="15">
        <v>2567</v>
      </c>
    </row>
    <row r="91" spans="1:7" x14ac:dyDescent="0.2">
      <c r="A91" s="14">
        <v>90</v>
      </c>
      <c r="B91" s="15" t="s">
        <v>60</v>
      </c>
      <c r="C91" s="15" t="s">
        <v>53</v>
      </c>
      <c r="D91" s="15" t="s">
        <v>76</v>
      </c>
      <c r="E91" s="15">
        <v>37</v>
      </c>
      <c r="F91" s="16" t="s">
        <v>51</v>
      </c>
      <c r="G91" s="15">
        <v>2154</v>
      </c>
    </row>
    <row r="92" spans="1:7" x14ac:dyDescent="0.2">
      <c r="A92" s="14">
        <v>91</v>
      </c>
      <c r="B92" s="15" t="s">
        <v>61</v>
      </c>
      <c r="C92" s="15" t="s">
        <v>53</v>
      </c>
      <c r="D92" s="15" t="s">
        <v>77</v>
      </c>
      <c r="E92" s="15">
        <v>26</v>
      </c>
      <c r="F92" s="15" t="s">
        <v>52</v>
      </c>
      <c r="G92" s="15">
        <v>3265</v>
      </c>
    </row>
    <row r="93" spans="1:7" x14ac:dyDescent="0.2">
      <c r="A93" s="14">
        <v>92</v>
      </c>
      <c r="B93" s="15" t="s">
        <v>62</v>
      </c>
      <c r="C93" s="15" t="s">
        <v>50</v>
      </c>
      <c r="D93" s="17" t="s">
        <v>78</v>
      </c>
      <c r="E93" s="15">
        <v>37</v>
      </c>
      <c r="F93" s="15" t="s">
        <v>54</v>
      </c>
      <c r="G93" s="15">
        <v>8765</v>
      </c>
    </row>
    <row r="94" spans="1:7" x14ac:dyDescent="0.2">
      <c r="A94" s="14">
        <v>93</v>
      </c>
      <c r="B94" s="15" t="s">
        <v>63</v>
      </c>
      <c r="C94" s="15" t="s">
        <v>53</v>
      </c>
      <c r="D94" s="15" t="s">
        <v>75</v>
      </c>
      <c r="E94" s="15">
        <v>24</v>
      </c>
      <c r="F94" s="16" t="s">
        <v>51</v>
      </c>
      <c r="G94" s="15">
        <v>3259</v>
      </c>
    </row>
    <row r="95" spans="1:7" x14ac:dyDescent="0.2">
      <c r="A95" s="14">
        <v>94</v>
      </c>
      <c r="B95" s="15" t="s">
        <v>64</v>
      </c>
      <c r="C95" s="15" t="s">
        <v>50</v>
      </c>
      <c r="D95" s="15" t="s">
        <v>76</v>
      </c>
      <c r="E95" s="15">
        <v>39</v>
      </c>
      <c r="F95" s="15" t="s">
        <v>52</v>
      </c>
      <c r="G95" s="15">
        <v>3567</v>
      </c>
    </row>
    <row r="96" spans="1:7" x14ac:dyDescent="0.2">
      <c r="A96" s="14">
        <v>95</v>
      </c>
      <c r="B96" s="15" t="s">
        <v>65</v>
      </c>
      <c r="C96" s="15" t="s">
        <v>53</v>
      </c>
      <c r="D96" s="15" t="s">
        <v>77</v>
      </c>
      <c r="E96" s="15">
        <v>26</v>
      </c>
      <c r="F96" s="15" t="s">
        <v>54</v>
      </c>
      <c r="G96" s="15">
        <v>6540</v>
      </c>
    </row>
    <row r="97" spans="1:7" x14ac:dyDescent="0.2">
      <c r="A97" s="14">
        <v>96</v>
      </c>
      <c r="B97" s="15" t="s">
        <v>66</v>
      </c>
      <c r="C97" s="15" t="s">
        <v>50</v>
      </c>
      <c r="D97" s="17" t="s">
        <v>78</v>
      </c>
      <c r="E97" s="15">
        <v>34</v>
      </c>
      <c r="F97" s="16" t="s">
        <v>51</v>
      </c>
      <c r="G97" s="15">
        <v>2654</v>
      </c>
    </row>
    <row r="98" spans="1:7" x14ac:dyDescent="0.2">
      <c r="A98" s="14">
        <v>97</v>
      </c>
      <c r="B98" s="15" t="s">
        <v>67</v>
      </c>
      <c r="C98" s="15" t="s">
        <v>50</v>
      </c>
      <c r="D98" s="15" t="s">
        <v>75</v>
      </c>
      <c r="E98" s="15">
        <v>28</v>
      </c>
      <c r="F98" s="15" t="s">
        <v>52</v>
      </c>
      <c r="G98" s="15">
        <v>6525</v>
      </c>
    </row>
    <row r="99" spans="1:7" x14ac:dyDescent="0.2">
      <c r="A99" s="14">
        <v>98</v>
      </c>
      <c r="B99" s="15" t="s">
        <v>68</v>
      </c>
      <c r="C99" s="15" t="s">
        <v>50</v>
      </c>
      <c r="D99" s="15" t="s">
        <v>76</v>
      </c>
      <c r="E99" s="15">
        <v>32</v>
      </c>
      <c r="F99" s="15" t="s">
        <v>54</v>
      </c>
      <c r="G99" s="15">
        <v>3265</v>
      </c>
    </row>
    <row r="100" spans="1:7" x14ac:dyDescent="0.2">
      <c r="A100" s="14">
        <v>99</v>
      </c>
      <c r="B100" s="15" t="s">
        <v>69</v>
      </c>
      <c r="C100" s="15" t="s">
        <v>53</v>
      </c>
      <c r="D100" s="15" t="s">
        <v>77</v>
      </c>
      <c r="E100" s="15">
        <v>39</v>
      </c>
      <c r="F100" s="16" t="s">
        <v>51</v>
      </c>
      <c r="G100" s="15">
        <v>3265</v>
      </c>
    </row>
    <row r="101" spans="1:7" x14ac:dyDescent="0.2">
      <c r="A101" s="14">
        <v>100</v>
      </c>
      <c r="B101" s="15" t="s">
        <v>70</v>
      </c>
      <c r="C101" s="15" t="s">
        <v>50</v>
      </c>
      <c r="D101" s="17" t="s">
        <v>78</v>
      </c>
      <c r="E101" s="15">
        <v>29</v>
      </c>
      <c r="F101" s="15" t="s">
        <v>52</v>
      </c>
      <c r="G101" s="15">
        <v>6125</v>
      </c>
    </row>
    <row r="102" spans="1:7" x14ac:dyDescent="0.2">
      <c r="A102" s="11"/>
    </row>
    <row r="103" spans="1:7" x14ac:dyDescent="0.2">
      <c r="A103" s="11"/>
    </row>
    <row r="104" spans="1:7" x14ac:dyDescent="0.2">
      <c r="A104" s="11"/>
    </row>
    <row r="105" spans="1:7" x14ac:dyDescent="0.2">
      <c r="A105" s="11"/>
    </row>
    <row r="106" spans="1:7" x14ac:dyDescent="0.2">
      <c r="A106" s="11"/>
    </row>
    <row r="107" spans="1:7" x14ac:dyDescent="0.2">
      <c r="A107" s="11"/>
    </row>
  </sheetData>
  <pageMargins left="0.4" right="0.22" top="0.5699999999999999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107"/>
  <sheetViews>
    <sheetView zoomScale="145" zoomScaleNormal="145" workbookViewId="0">
      <selection activeCell="G5" sqref="G5"/>
    </sheetView>
  </sheetViews>
  <sheetFormatPr defaultRowHeight="14.25" x14ac:dyDescent="0.2"/>
  <cols>
    <col min="1" max="1" width="5.75" style="12" bestFit="1" customWidth="1"/>
    <col min="2" max="2" width="13.625" customWidth="1"/>
    <col min="3" max="3" width="6.75" customWidth="1"/>
    <col min="4" max="4" width="6.625" customWidth="1"/>
    <col min="5" max="5" width="4" customWidth="1"/>
    <col min="6" max="6" width="8.875" customWidth="1"/>
    <col min="7" max="7" width="4.375" customWidth="1"/>
    <col min="8" max="8" width="9.5" bestFit="1" customWidth="1"/>
    <col min="9" max="9" width="10" bestFit="1" customWidth="1"/>
    <col min="10" max="10" width="4.5" bestFit="1" customWidth="1"/>
    <col min="11" max="11" width="2.375" bestFit="1" customWidth="1"/>
    <col min="13" max="13" width="10" bestFit="1" customWidth="1"/>
  </cols>
  <sheetData>
    <row r="1" spans="1:14" x14ac:dyDescent="0.2">
      <c r="A1" s="13" t="s">
        <v>55</v>
      </c>
      <c r="B1" s="13" t="s">
        <v>73</v>
      </c>
      <c r="C1" s="13" t="s">
        <v>46</v>
      </c>
      <c r="D1" s="13" t="s">
        <v>74</v>
      </c>
      <c r="E1" s="13" t="s">
        <v>47</v>
      </c>
      <c r="F1" s="13" t="s">
        <v>48</v>
      </c>
      <c r="G1" s="13" t="s">
        <v>49</v>
      </c>
      <c r="H1" s="13" t="s">
        <v>79</v>
      </c>
      <c r="I1" s="13" t="s">
        <v>80</v>
      </c>
      <c r="J1" s="13" t="s">
        <v>48</v>
      </c>
      <c r="K1" s="13" t="s">
        <v>49</v>
      </c>
      <c r="L1" s="13" t="s">
        <v>79</v>
      </c>
      <c r="M1" s="13" t="s">
        <v>80</v>
      </c>
      <c r="N1" s="13" t="s">
        <v>48</v>
      </c>
    </row>
    <row r="2" spans="1:14" x14ac:dyDescent="0.2">
      <c r="A2" s="14">
        <v>1</v>
      </c>
      <c r="B2" s="15" t="s">
        <v>56</v>
      </c>
      <c r="C2" s="15" t="s">
        <v>50</v>
      </c>
      <c r="D2" s="15" t="s">
        <v>75</v>
      </c>
      <c r="E2" s="15">
        <v>32</v>
      </c>
      <c r="F2" s="16" t="s">
        <v>51</v>
      </c>
      <c r="G2" s="15">
        <v>1562</v>
      </c>
      <c r="H2" s="18"/>
      <c r="I2" s="18"/>
    </row>
    <row r="3" spans="1:14" x14ac:dyDescent="0.2">
      <c r="A3" s="14">
        <v>2</v>
      </c>
      <c r="B3" s="15" t="s">
        <v>57</v>
      </c>
      <c r="C3" s="15" t="s">
        <v>50</v>
      </c>
      <c r="D3" s="15" t="s">
        <v>76</v>
      </c>
      <c r="E3" s="15">
        <v>25</v>
      </c>
      <c r="F3" s="15" t="s">
        <v>52</v>
      </c>
      <c r="G3" s="15">
        <v>1582</v>
      </c>
      <c r="H3" s="18"/>
      <c r="I3" s="18"/>
    </row>
    <row r="4" spans="1:14" x14ac:dyDescent="0.2">
      <c r="A4" s="14">
        <v>3</v>
      </c>
      <c r="B4" s="15" t="s">
        <v>58</v>
      </c>
      <c r="C4" s="15" t="s">
        <v>53</v>
      </c>
      <c r="D4" s="15" t="s">
        <v>77</v>
      </c>
      <c r="E4" s="15">
        <v>36</v>
      </c>
      <c r="F4" s="15" t="s">
        <v>54</v>
      </c>
      <c r="G4" s="15">
        <v>2587</v>
      </c>
      <c r="H4" s="18"/>
      <c r="I4" s="18"/>
    </row>
    <row r="5" spans="1:14" x14ac:dyDescent="0.2">
      <c r="A5" s="14">
        <v>4</v>
      </c>
      <c r="B5" s="15" t="s">
        <v>59</v>
      </c>
      <c r="C5" s="15" t="s">
        <v>50</v>
      </c>
      <c r="D5" s="17" t="s">
        <v>78</v>
      </c>
      <c r="E5" s="15">
        <v>25</v>
      </c>
      <c r="F5" s="16" t="s">
        <v>51</v>
      </c>
      <c r="G5" s="15">
        <v>3549</v>
      </c>
      <c r="H5" s="18"/>
      <c r="I5" s="18"/>
    </row>
    <row r="6" spans="1:14" x14ac:dyDescent="0.2">
      <c r="A6" s="14">
        <v>5</v>
      </c>
      <c r="B6" s="15" t="s">
        <v>60</v>
      </c>
      <c r="C6" s="15" t="s">
        <v>50</v>
      </c>
      <c r="D6" s="15" t="s">
        <v>75</v>
      </c>
      <c r="E6" s="15">
        <v>58</v>
      </c>
      <c r="F6" s="15" t="s">
        <v>52</v>
      </c>
      <c r="G6" s="15">
        <v>2468</v>
      </c>
      <c r="H6" s="18"/>
      <c r="I6" s="18"/>
    </row>
    <row r="7" spans="1:14" x14ac:dyDescent="0.2">
      <c r="A7" s="14">
        <v>6</v>
      </c>
      <c r="B7" s="15" t="s">
        <v>61</v>
      </c>
      <c r="C7" s="17" t="s">
        <v>53</v>
      </c>
      <c r="D7" s="15" t="s">
        <v>76</v>
      </c>
      <c r="E7" s="15">
        <v>24</v>
      </c>
      <c r="F7" s="15" t="s">
        <v>54</v>
      </c>
      <c r="G7" s="15">
        <v>2554</v>
      </c>
      <c r="H7" s="18"/>
      <c r="I7" s="18"/>
    </row>
    <row r="8" spans="1:14" x14ac:dyDescent="0.2">
      <c r="A8" s="14">
        <v>7</v>
      </c>
      <c r="B8" s="15" t="s">
        <v>62</v>
      </c>
      <c r="C8" s="15" t="s">
        <v>50</v>
      </c>
      <c r="D8" s="15" t="s">
        <v>77</v>
      </c>
      <c r="E8" s="15">
        <v>56</v>
      </c>
      <c r="F8" s="16" t="s">
        <v>51</v>
      </c>
      <c r="G8" s="15">
        <v>3598</v>
      </c>
      <c r="H8" s="18"/>
      <c r="I8" s="18"/>
    </row>
    <row r="9" spans="1:14" x14ac:dyDescent="0.2">
      <c r="A9" s="14">
        <v>8</v>
      </c>
      <c r="B9" s="15" t="s">
        <v>63</v>
      </c>
      <c r="C9" s="15" t="s">
        <v>50</v>
      </c>
      <c r="D9" s="17" t="s">
        <v>78</v>
      </c>
      <c r="E9" s="15">
        <v>27</v>
      </c>
      <c r="F9" s="15" t="s">
        <v>52</v>
      </c>
      <c r="G9" s="15">
        <v>2456</v>
      </c>
      <c r="H9" s="18"/>
      <c r="I9" s="18"/>
    </row>
    <row r="10" spans="1:14" x14ac:dyDescent="0.2">
      <c r="A10" s="14">
        <v>9</v>
      </c>
      <c r="B10" s="15" t="s">
        <v>64</v>
      </c>
      <c r="C10" s="15" t="s">
        <v>50</v>
      </c>
      <c r="D10" s="15" t="s">
        <v>75</v>
      </c>
      <c r="E10" s="15">
        <v>40</v>
      </c>
      <c r="F10" s="15" t="s">
        <v>54</v>
      </c>
      <c r="G10" s="15">
        <v>6548</v>
      </c>
      <c r="H10" s="18"/>
      <c r="I10" s="18"/>
    </row>
    <row r="11" spans="1:14" x14ac:dyDescent="0.2">
      <c r="A11" s="14">
        <v>10</v>
      </c>
      <c r="B11" s="15" t="s">
        <v>65</v>
      </c>
      <c r="C11" s="15" t="s">
        <v>50</v>
      </c>
      <c r="D11" s="15" t="s">
        <v>76</v>
      </c>
      <c r="E11" s="15">
        <v>28</v>
      </c>
      <c r="F11" s="15" t="s">
        <v>52</v>
      </c>
      <c r="G11" s="15">
        <v>5486</v>
      </c>
      <c r="H11" s="18"/>
      <c r="I11" s="18"/>
    </row>
    <row r="12" spans="1:14" x14ac:dyDescent="0.2">
      <c r="A12" s="14">
        <v>11</v>
      </c>
      <c r="B12" s="15" t="s">
        <v>66</v>
      </c>
      <c r="C12" s="15" t="s">
        <v>50</v>
      </c>
      <c r="D12" s="15" t="s">
        <v>77</v>
      </c>
      <c r="E12" s="15">
        <v>39</v>
      </c>
      <c r="F12" s="15" t="s">
        <v>54</v>
      </c>
      <c r="G12" s="15">
        <v>1258</v>
      </c>
      <c r="H12" s="18"/>
      <c r="I12" s="18"/>
    </row>
    <row r="13" spans="1:14" x14ac:dyDescent="0.2">
      <c r="A13" s="14">
        <v>12</v>
      </c>
      <c r="B13" s="15" t="s">
        <v>67</v>
      </c>
      <c r="C13" s="15" t="s">
        <v>53</v>
      </c>
      <c r="D13" s="17" t="s">
        <v>78</v>
      </c>
      <c r="E13" s="15">
        <v>38</v>
      </c>
      <c r="F13" s="16" t="s">
        <v>51</v>
      </c>
      <c r="G13" s="15">
        <v>2579</v>
      </c>
      <c r="H13" s="18"/>
      <c r="I13" s="18"/>
    </row>
    <row r="14" spans="1:14" x14ac:dyDescent="0.2">
      <c r="A14" s="14">
        <v>13</v>
      </c>
      <c r="B14" s="15" t="s">
        <v>68</v>
      </c>
      <c r="C14" s="15" t="s">
        <v>50</v>
      </c>
      <c r="D14" s="15" t="s">
        <v>75</v>
      </c>
      <c r="E14" s="15">
        <v>32</v>
      </c>
      <c r="F14" s="15" t="s">
        <v>52</v>
      </c>
      <c r="G14" s="15">
        <v>3256</v>
      </c>
    </row>
    <row r="15" spans="1:14" x14ac:dyDescent="0.2">
      <c r="A15" s="14">
        <v>14</v>
      </c>
      <c r="B15" s="15" t="s">
        <v>69</v>
      </c>
      <c r="C15" s="15" t="s">
        <v>53</v>
      </c>
      <c r="D15" s="15" t="s">
        <v>76</v>
      </c>
      <c r="E15" s="15">
        <v>26</v>
      </c>
      <c r="F15" s="15" t="s">
        <v>54</v>
      </c>
      <c r="G15" s="15">
        <v>2587</v>
      </c>
    </row>
    <row r="16" spans="1:14" x14ac:dyDescent="0.2">
      <c r="A16" s="14">
        <v>15</v>
      </c>
      <c r="B16" s="15" t="s">
        <v>70</v>
      </c>
      <c r="C16" s="15" t="s">
        <v>50</v>
      </c>
      <c r="D16" s="15" t="s">
        <v>77</v>
      </c>
      <c r="E16" s="15">
        <v>31</v>
      </c>
      <c r="F16" s="15" t="s">
        <v>52</v>
      </c>
      <c r="G16" s="15">
        <v>3259</v>
      </c>
    </row>
    <row r="17" spans="1:7" x14ac:dyDescent="0.2">
      <c r="A17" s="14">
        <v>16</v>
      </c>
      <c r="B17" s="15" t="s">
        <v>71</v>
      </c>
      <c r="C17" s="15" t="s">
        <v>50</v>
      </c>
      <c r="D17" s="17" t="s">
        <v>78</v>
      </c>
      <c r="E17" s="15">
        <v>24</v>
      </c>
      <c r="F17" s="15" t="s">
        <v>54</v>
      </c>
      <c r="G17" s="15">
        <v>1546</v>
      </c>
    </row>
    <row r="18" spans="1:7" x14ac:dyDescent="0.2">
      <c r="A18" s="14">
        <v>17</v>
      </c>
      <c r="B18" s="15" t="s">
        <v>72</v>
      </c>
      <c r="C18" s="15" t="s">
        <v>50</v>
      </c>
      <c r="D18" s="15" t="s">
        <v>75</v>
      </c>
      <c r="E18" s="15">
        <v>39</v>
      </c>
      <c r="F18" s="16" t="s">
        <v>51</v>
      </c>
      <c r="G18" s="15">
        <v>3579</v>
      </c>
    </row>
    <row r="19" spans="1:7" x14ac:dyDescent="0.2">
      <c r="A19" s="14">
        <v>18</v>
      </c>
      <c r="B19" s="15" t="s">
        <v>56</v>
      </c>
      <c r="C19" s="15" t="s">
        <v>50</v>
      </c>
      <c r="D19" s="15" t="s">
        <v>76</v>
      </c>
      <c r="E19" s="15">
        <v>28</v>
      </c>
      <c r="F19" s="15" t="s">
        <v>52</v>
      </c>
      <c r="G19" s="15">
        <v>6597</v>
      </c>
    </row>
    <row r="20" spans="1:7" x14ac:dyDescent="0.2">
      <c r="A20" s="14">
        <v>19</v>
      </c>
      <c r="B20" s="15" t="s">
        <v>57</v>
      </c>
      <c r="C20" s="15" t="s">
        <v>50</v>
      </c>
      <c r="D20" s="15" t="s">
        <v>77</v>
      </c>
      <c r="E20" s="15">
        <v>26</v>
      </c>
      <c r="F20" s="15" t="s">
        <v>54</v>
      </c>
      <c r="G20" s="15">
        <v>9654</v>
      </c>
    </row>
    <row r="21" spans="1:7" x14ac:dyDescent="0.2">
      <c r="A21" s="14">
        <v>20</v>
      </c>
      <c r="B21" s="15" t="s">
        <v>58</v>
      </c>
      <c r="C21" s="15" t="s">
        <v>50</v>
      </c>
      <c r="D21" s="17" t="s">
        <v>78</v>
      </c>
      <c r="E21" s="15">
        <v>46</v>
      </c>
      <c r="F21" s="15" t="s">
        <v>54</v>
      </c>
      <c r="G21" s="15">
        <v>3569</v>
      </c>
    </row>
    <row r="22" spans="1:7" x14ac:dyDescent="0.2">
      <c r="A22" s="14">
        <v>21</v>
      </c>
      <c r="B22" s="15" t="s">
        <v>59</v>
      </c>
      <c r="C22" s="15" t="s">
        <v>50</v>
      </c>
      <c r="D22" s="15" t="s">
        <v>75</v>
      </c>
      <c r="E22" s="15">
        <v>37</v>
      </c>
      <c r="F22" s="16" t="s">
        <v>51</v>
      </c>
      <c r="G22" s="15">
        <v>2564</v>
      </c>
    </row>
    <row r="23" spans="1:7" x14ac:dyDescent="0.2">
      <c r="A23" s="14">
        <v>22</v>
      </c>
      <c r="B23" s="15" t="s">
        <v>60</v>
      </c>
      <c r="C23" s="15" t="s">
        <v>50</v>
      </c>
      <c r="D23" s="15" t="s">
        <v>76</v>
      </c>
      <c r="E23" s="15">
        <v>52</v>
      </c>
      <c r="F23" s="15" t="s">
        <v>52</v>
      </c>
      <c r="G23" s="15">
        <v>8561</v>
      </c>
    </row>
    <row r="24" spans="1:7" x14ac:dyDescent="0.2">
      <c r="A24" s="14">
        <v>23</v>
      </c>
      <c r="B24" s="15" t="s">
        <v>61</v>
      </c>
      <c r="C24" s="15" t="s">
        <v>50</v>
      </c>
      <c r="D24" s="15" t="s">
        <v>77</v>
      </c>
      <c r="E24" s="15">
        <v>46</v>
      </c>
      <c r="F24" s="15" t="s">
        <v>54</v>
      </c>
      <c r="G24" s="15">
        <v>5489</v>
      </c>
    </row>
    <row r="25" spans="1:7" x14ac:dyDescent="0.2">
      <c r="A25" s="14">
        <v>24</v>
      </c>
      <c r="B25" s="15" t="s">
        <v>62</v>
      </c>
      <c r="C25" s="15" t="s">
        <v>50</v>
      </c>
      <c r="D25" s="17" t="s">
        <v>78</v>
      </c>
      <c r="E25" s="15">
        <v>42</v>
      </c>
      <c r="F25" s="15" t="s">
        <v>54</v>
      </c>
      <c r="G25" s="15">
        <v>5489</v>
      </c>
    </row>
    <row r="26" spans="1:7" x14ac:dyDescent="0.2">
      <c r="A26" s="14">
        <v>25</v>
      </c>
      <c r="B26" s="15" t="s">
        <v>63</v>
      </c>
      <c r="C26" s="15" t="s">
        <v>53</v>
      </c>
      <c r="D26" s="15" t="s">
        <v>75</v>
      </c>
      <c r="E26" s="15">
        <v>21</v>
      </c>
      <c r="F26" s="16" t="s">
        <v>51</v>
      </c>
      <c r="G26" s="15">
        <v>6574</v>
      </c>
    </row>
    <row r="27" spans="1:7" x14ac:dyDescent="0.2">
      <c r="A27" s="14">
        <v>26</v>
      </c>
      <c r="B27" s="15" t="s">
        <v>64</v>
      </c>
      <c r="C27" s="15" t="s">
        <v>50</v>
      </c>
      <c r="D27" s="15" t="s">
        <v>76</v>
      </c>
      <c r="E27" s="15">
        <v>28</v>
      </c>
      <c r="F27" s="15" t="s">
        <v>52</v>
      </c>
      <c r="G27" s="15">
        <v>5555</v>
      </c>
    </row>
    <row r="28" spans="1:7" x14ac:dyDescent="0.2">
      <c r="A28" s="14">
        <v>27</v>
      </c>
      <c r="B28" s="15" t="s">
        <v>65</v>
      </c>
      <c r="C28" s="15" t="s">
        <v>50</v>
      </c>
      <c r="D28" s="15" t="s">
        <v>77</v>
      </c>
      <c r="E28" s="15">
        <v>29</v>
      </c>
      <c r="F28" s="15" t="s">
        <v>54</v>
      </c>
      <c r="G28" s="15">
        <v>6125</v>
      </c>
    </row>
    <row r="29" spans="1:7" x14ac:dyDescent="0.2">
      <c r="A29" s="14">
        <v>28</v>
      </c>
      <c r="B29" s="15" t="s">
        <v>66</v>
      </c>
      <c r="C29" s="15" t="s">
        <v>50</v>
      </c>
      <c r="D29" s="17" t="s">
        <v>78</v>
      </c>
      <c r="E29" s="15">
        <v>23</v>
      </c>
      <c r="F29" s="16" t="s">
        <v>51</v>
      </c>
      <c r="G29" s="15">
        <v>5412</v>
      </c>
    </row>
    <row r="30" spans="1:7" x14ac:dyDescent="0.2">
      <c r="A30" s="14">
        <v>29</v>
      </c>
      <c r="B30" s="15" t="s">
        <v>67</v>
      </c>
      <c r="C30" s="15" t="s">
        <v>53</v>
      </c>
      <c r="D30" s="15" t="s">
        <v>75</v>
      </c>
      <c r="E30" s="15">
        <v>41</v>
      </c>
      <c r="F30" s="15" t="s">
        <v>52</v>
      </c>
      <c r="G30" s="15">
        <v>3256</v>
      </c>
    </row>
    <row r="31" spans="1:7" x14ac:dyDescent="0.2">
      <c r="A31" s="14">
        <v>30</v>
      </c>
      <c r="B31" s="15" t="s">
        <v>68</v>
      </c>
      <c r="C31" s="15" t="s">
        <v>50</v>
      </c>
      <c r="D31" s="15" t="s">
        <v>76</v>
      </c>
      <c r="E31" s="15">
        <v>28</v>
      </c>
      <c r="F31" s="15" t="s">
        <v>54</v>
      </c>
      <c r="G31" s="15">
        <v>3264</v>
      </c>
    </row>
    <row r="32" spans="1:7" x14ac:dyDescent="0.2">
      <c r="A32" s="14">
        <v>31</v>
      </c>
      <c r="B32" s="15" t="s">
        <v>69</v>
      </c>
      <c r="C32" s="15" t="s">
        <v>50</v>
      </c>
      <c r="D32" s="15" t="s">
        <v>77</v>
      </c>
      <c r="E32" s="15">
        <v>37</v>
      </c>
      <c r="F32" s="16" t="s">
        <v>51</v>
      </c>
      <c r="G32" s="15">
        <v>4569</v>
      </c>
    </row>
    <row r="33" spans="1:7" x14ac:dyDescent="0.2">
      <c r="A33" s="14">
        <v>32</v>
      </c>
      <c r="B33" s="15" t="s">
        <v>70</v>
      </c>
      <c r="C33" s="15" t="s">
        <v>50</v>
      </c>
      <c r="D33" s="17" t="s">
        <v>78</v>
      </c>
      <c r="E33" s="15">
        <v>34</v>
      </c>
      <c r="F33" s="15" t="s">
        <v>52</v>
      </c>
      <c r="G33" s="15">
        <v>7521</v>
      </c>
    </row>
    <row r="34" spans="1:7" x14ac:dyDescent="0.2">
      <c r="A34" s="14">
        <v>33</v>
      </c>
      <c r="B34" s="15" t="s">
        <v>71</v>
      </c>
      <c r="C34" s="15" t="s">
        <v>50</v>
      </c>
      <c r="D34" s="15" t="s">
        <v>75</v>
      </c>
      <c r="E34" s="15">
        <v>26</v>
      </c>
      <c r="F34" s="15" t="s">
        <v>54</v>
      </c>
      <c r="G34" s="15">
        <v>6458</v>
      </c>
    </row>
    <row r="35" spans="1:7" x14ac:dyDescent="0.2">
      <c r="A35" s="14">
        <v>34</v>
      </c>
      <c r="B35" s="15" t="s">
        <v>72</v>
      </c>
      <c r="C35" s="15" t="s">
        <v>50</v>
      </c>
      <c r="D35" s="15" t="s">
        <v>76</v>
      </c>
      <c r="E35" s="15">
        <v>35</v>
      </c>
      <c r="F35" s="15" t="s">
        <v>52</v>
      </c>
      <c r="G35" s="15">
        <v>7569</v>
      </c>
    </row>
    <row r="36" spans="1:7" x14ac:dyDescent="0.2">
      <c r="A36" s="14">
        <v>35</v>
      </c>
      <c r="B36" s="15" t="s">
        <v>56</v>
      </c>
      <c r="C36" s="15" t="s">
        <v>53</v>
      </c>
      <c r="D36" s="15" t="s">
        <v>77</v>
      </c>
      <c r="E36" s="15">
        <v>36</v>
      </c>
      <c r="F36" s="15" t="s">
        <v>54</v>
      </c>
      <c r="G36" s="15">
        <v>8514</v>
      </c>
    </row>
    <row r="37" spans="1:7" x14ac:dyDescent="0.2">
      <c r="A37" s="14">
        <v>36</v>
      </c>
      <c r="B37" s="15" t="s">
        <v>57</v>
      </c>
      <c r="C37" s="15" t="s">
        <v>50</v>
      </c>
      <c r="D37" s="17" t="s">
        <v>78</v>
      </c>
      <c r="E37" s="15">
        <v>29</v>
      </c>
      <c r="F37" s="16" t="s">
        <v>51</v>
      </c>
      <c r="G37" s="15">
        <v>8563</v>
      </c>
    </row>
    <row r="38" spans="1:7" x14ac:dyDescent="0.2">
      <c r="A38" s="14">
        <v>37</v>
      </c>
      <c r="B38" s="15" t="s">
        <v>58</v>
      </c>
      <c r="C38" s="15" t="s">
        <v>50</v>
      </c>
      <c r="D38" s="15" t="s">
        <v>75</v>
      </c>
      <c r="E38" s="15">
        <v>27</v>
      </c>
      <c r="F38" s="15" t="s">
        <v>52</v>
      </c>
      <c r="G38" s="15">
        <v>8642</v>
      </c>
    </row>
    <row r="39" spans="1:7" x14ac:dyDescent="0.2">
      <c r="A39" s="14">
        <v>38</v>
      </c>
      <c r="B39" s="15" t="s">
        <v>59</v>
      </c>
      <c r="C39" s="15" t="s">
        <v>50</v>
      </c>
      <c r="D39" s="15" t="s">
        <v>76</v>
      </c>
      <c r="E39" s="15">
        <v>25</v>
      </c>
      <c r="F39" s="15" t="s">
        <v>54</v>
      </c>
      <c r="G39" s="15">
        <v>9536</v>
      </c>
    </row>
    <row r="40" spans="1:7" x14ac:dyDescent="0.2">
      <c r="A40" s="14">
        <v>39</v>
      </c>
      <c r="B40" s="15" t="s">
        <v>60</v>
      </c>
      <c r="C40" s="15" t="s">
        <v>50</v>
      </c>
      <c r="D40" s="15" t="s">
        <v>77</v>
      </c>
      <c r="E40" s="15">
        <v>36</v>
      </c>
      <c r="F40" s="15" t="s">
        <v>54</v>
      </c>
      <c r="G40" s="15">
        <v>2567</v>
      </c>
    </row>
    <row r="41" spans="1:7" x14ac:dyDescent="0.2">
      <c r="A41" s="14">
        <v>40</v>
      </c>
      <c r="B41" s="15" t="s">
        <v>61</v>
      </c>
      <c r="C41" s="15" t="s">
        <v>53</v>
      </c>
      <c r="D41" s="17" t="s">
        <v>78</v>
      </c>
      <c r="E41" s="15">
        <v>37</v>
      </c>
      <c r="F41" s="16" t="s">
        <v>51</v>
      </c>
      <c r="G41" s="15">
        <v>2154</v>
      </c>
    </row>
    <row r="42" spans="1:7" x14ac:dyDescent="0.2">
      <c r="A42" s="14">
        <v>41</v>
      </c>
      <c r="B42" s="15" t="s">
        <v>62</v>
      </c>
      <c r="C42" s="15" t="s">
        <v>53</v>
      </c>
      <c r="D42" s="15" t="s">
        <v>75</v>
      </c>
      <c r="E42" s="15">
        <v>26</v>
      </c>
      <c r="F42" s="15" t="s">
        <v>52</v>
      </c>
      <c r="G42" s="15">
        <v>3265</v>
      </c>
    </row>
    <row r="43" spans="1:7" x14ac:dyDescent="0.2">
      <c r="A43" s="14">
        <v>42</v>
      </c>
      <c r="B43" s="15" t="s">
        <v>63</v>
      </c>
      <c r="C43" s="15" t="s">
        <v>50</v>
      </c>
      <c r="D43" s="15" t="s">
        <v>76</v>
      </c>
      <c r="E43" s="15">
        <v>37</v>
      </c>
      <c r="F43" s="15" t="s">
        <v>54</v>
      </c>
      <c r="G43" s="15">
        <v>8765</v>
      </c>
    </row>
    <row r="44" spans="1:7" x14ac:dyDescent="0.2">
      <c r="A44" s="14">
        <v>43</v>
      </c>
      <c r="B44" s="15" t="s">
        <v>64</v>
      </c>
      <c r="C44" s="15" t="s">
        <v>53</v>
      </c>
      <c r="D44" s="15" t="s">
        <v>77</v>
      </c>
      <c r="E44" s="15">
        <v>24</v>
      </c>
      <c r="F44" s="16" t="s">
        <v>51</v>
      </c>
      <c r="G44" s="15">
        <v>3259</v>
      </c>
    </row>
    <row r="45" spans="1:7" x14ac:dyDescent="0.2">
      <c r="A45" s="14">
        <v>44</v>
      </c>
      <c r="B45" s="15" t="s">
        <v>65</v>
      </c>
      <c r="C45" s="15" t="s">
        <v>50</v>
      </c>
      <c r="D45" s="17" t="s">
        <v>78</v>
      </c>
      <c r="E45" s="15">
        <v>39</v>
      </c>
      <c r="F45" s="15" t="s">
        <v>52</v>
      </c>
      <c r="G45" s="15">
        <v>3567</v>
      </c>
    </row>
    <row r="46" spans="1:7" x14ac:dyDescent="0.2">
      <c r="A46" s="14">
        <v>45</v>
      </c>
      <c r="B46" s="15" t="s">
        <v>66</v>
      </c>
      <c r="C46" s="15" t="s">
        <v>53</v>
      </c>
      <c r="D46" s="15" t="s">
        <v>75</v>
      </c>
      <c r="E46" s="15">
        <v>26</v>
      </c>
      <c r="F46" s="15" t="s">
        <v>54</v>
      </c>
      <c r="G46" s="15">
        <v>6540</v>
      </c>
    </row>
    <row r="47" spans="1:7" x14ac:dyDescent="0.2">
      <c r="A47" s="14">
        <v>46</v>
      </c>
      <c r="B47" s="15" t="s">
        <v>67</v>
      </c>
      <c r="C47" s="15" t="s">
        <v>50</v>
      </c>
      <c r="D47" s="15" t="s">
        <v>76</v>
      </c>
      <c r="E47" s="15">
        <v>34</v>
      </c>
      <c r="F47" s="16" t="s">
        <v>51</v>
      </c>
      <c r="G47" s="15">
        <v>2654</v>
      </c>
    </row>
    <row r="48" spans="1:7" x14ac:dyDescent="0.2">
      <c r="A48" s="14">
        <v>47</v>
      </c>
      <c r="B48" s="15" t="s">
        <v>68</v>
      </c>
      <c r="C48" s="15" t="s">
        <v>50</v>
      </c>
      <c r="D48" s="15" t="s">
        <v>77</v>
      </c>
      <c r="E48" s="15">
        <v>28</v>
      </c>
      <c r="F48" s="15" t="s">
        <v>52</v>
      </c>
      <c r="G48" s="15">
        <v>6525</v>
      </c>
    </row>
    <row r="49" spans="1:7" x14ac:dyDescent="0.2">
      <c r="A49" s="14">
        <v>48</v>
      </c>
      <c r="B49" s="15" t="s">
        <v>69</v>
      </c>
      <c r="C49" s="15" t="s">
        <v>50</v>
      </c>
      <c r="D49" s="17" t="s">
        <v>78</v>
      </c>
      <c r="E49" s="15">
        <v>32</v>
      </c>
      <c r="F49" s="15" t="s">
        <v>54</v>
      </c>
      <c r="G49" s="15">
        <v>3265</v>
      </c>
    </row>
    <row r="50" spans="1:7" x14ac:dyDescent="0.2">
      <c r="A50" s="14">
        <v>49</v>
      </c>
      <c r="B50" s="15" t="s">
        <v>70</v>
      </c>
      <c r="C50" s="15" t="s">
        <v>53</v>
      </c>
      <c r="D50" s="15" t="s">
        <v>75</v>
      </c>
      <c r="E50" s="15">
        <v>39</v>
      </c>
      <c r="F50" s="16" t="s">
        <v>51</v>
      </c>
      <c r="G50" s="15">
        <v>3265</v>
      </c>
    </row>
    <row r="51" spans="1:7" x14ac:dyDescent="0.2">
      <c r="A51" s="14">
        <v>50</v>
      </c>
      <c r="B51" s="15" t="s">
        <v>71</v>
      </c>
      <c r="C51" s="15" t="s">
        <v>50</v>
      </c>
      <c r="D51" s="15" t="s">
        <v>76</v>
      </c>
      <c r="E51" s="15">
        <v>29</v>
      </c>
      <c r="F51" s="15" t="s">
        <v>52</v>
      </c>
      <c r="G51" s="15">
        <v>6125</v>
      </c>
    </row>
    <row r="52" spans="1:7" x14ac:dyDescent="0.2">
      <c r="A52" s="14">
        <v>51</v>
      </c>
      <c r="B52" s="15" t="s">
        <v>72</v>
      </c>
      <c r="C52" s="15" t="s">
        <v>50</v>
      </c>
      <c r="D52" s="15" t="s">
        <v>77</v>
      </c>
      <c r="E52" s="15">
        <v>32</v>
      </c>
      <c r="F52" s="16" t="s">
        <v>51</v>
      </c>
      <c r="G52" s="15">
        <v>1562</v>
      </c>
    </row>
    <row r="53" spans="1:7" x14ac:dyDescent="0.2">
      <c r="A53" s="14">
        <v>52</v>
      </c>
      <c r="B53" s="15" t="s">
        <v>56</v>
      </c>
      <c r="C53" s="15" t="s">
        <v>50</v>
      </c>
      <c r="D53" s="17" t="s">
        <v>78</v>
      </c>
      <c r="E53" s="15">
        <v>25</v>
      </c>
      <c r="F53" s="15" t="s">
        <v>52</v>
      </c>
      <c r="G53" s="15">
        <v>1582</v>
      </c>
    </row>
    <row r="54" spans="1:7" x14ac:dyDescent="0.2">
      <c r="A54" s="14">
        <v>53</v>
      </c>
      <c r="B54" s="15" t="s">
        <v>57</v>
      </c>
      <c r="C54" s="15" t="s">
        <v>53</v>
      </c>
      <c r="D54" s="15" t="s">
        <v>75</v>
      </c>
      <c r="E54" s="15">
        <v>36</v>
      </c>
      <c r="F54" s="15" t="s">
        <v>54</v>
      </c>
      <c r="G54" s="15">
        <v>2587</v>
      </c>
    </row>
    <row r="55" spans="1:7" x14ac:dyDescent="0.2">
      <c r="A55" s="14">
        <v>54</v>
      </c>
      <c r="B55" s="15" t="s">
        <v>58</v>
      </c>
      <c r="C55" s="15" t="s">
        <v>50</v>
      </c>
      <c r="D55" s="15" t="s">
        <v>76</v>
      </c>
      <c r="E55" s="15">
        <v>25</v>
      </c>
      <c r="F55" s="16" t="s">
        <v>51</v>
      </c>
      <c r="G55" s="15">
        <v>3549</v>
      </c>
    </row>
    <row r="56" spans="1:7" x14ac:dyDescent="0.2">
      <c r="A56" s="14">
        <v>55</v>
      </c>
      <c r="B56" s="15" t="s">
        <v>59</v>
      </c>
      <c r="C56" s="15" t="s">
        <v>50</v>
      </c>
      <c r="D56" s="15" t="s">
        <v>77</v>
      </c>
      <c r="E56" s="15">
        <v>58</v>
      </c>
      <c r="F56" s="15" t="s">
        <v>52</v>
      </c>
      <c r="G56" s="15">
        <v>2468</v>
      </c>
    </row>
    <row r="57" spans="1:7" x14ac:dyDescent="0.2">
      <c r="A57" s="14">
        <v>56</v>
      </c>
      <c r="B57" s="15" t="s">
        <v>60</v>
      </c>
      <c r="C57" s="17" t="s">
        <v>53</v>
      </c>
      <c r="D57" s="17" t="s">
        <v>78</v>
      </c>
      <c r="E57" s="15">
        <v>24</v>
      </c>
      <c r="F57" s="15" t="s">
        <v>54</v>
      </c>
      <c r="G57" s="15">
        <v>2554</v>
      </c>
    </row>
    <row r="58" spans="1:7" x14ac:dyDescent="0.2">
      <c r="A58" s="14">
        <v>57</v>
      </c>
      <c r="B58" s="15" t="s">
        <v>61</v>
      </c>
      <c r="C58" s="15" t="s">
        <v>50</v>
      </c>
      <c r="D58" s="15" t="s">
        <v>75</v>
      </c>
      <c r="E58" s="15">
        <v>56</v>
      </c>
      <c r="F58" s="16" t="s">
        <v>51</v>
      </c>
      <c r="G58" s="15">
        <v>3598</v>
      </c>
    </row>
    <row r="59" spans="1:7" x14ac:dyDescent="0.2">
      <c r="A59" s="14">
        <v>58</v>
      </c>
      <c r="B59" s="15" t="s">
        <v>62</v>
      </c>
      <c r="C59" s="15" t="s">
        <v>50</v>
      </c>
      <c r="D59" s="15" t="s">
        <v>76</v>
      </c>
      <c r="E59" s="15">
        <v>27</v>
      </c>
      <c r="F59" s="15" t="s">
        <v>52</v>
      </c>
      <c r="G59" s="15">
        <v>2456</v>
      </c>
    </row>
    <row r="60" spans="1:7" x14ac:dyDescent="0.2">
      <c r="A60" s="14">
        <v>59</v>
      </c>
      <c r="B60" s="15" t="s">
        <v>63</v>
      </c>
      <c r="C60" s="15" t="s">
        <v>50</v>
      </c>
      <c r="D60" s="15" t="s">
        <v>77</v>
      </c>
      <c r="E60" s="15">
        <v>40</v>
      </c>
      <c r="F60" s="15" t="s">
        <v>54</v>
      </c>
      <c r="G60" s="15">
        <v>6548</v>
      </c>
    </row>
    <row r="61" spans="1:7" x14ac:dyDescent="0.2">
      <c r="A61" s="14">
        <v>60</v>
      </c>
      <c r="B61" s="15" t="s">
        <v>64</v>
      </c>
      <c r="C61" s="15" t="s">
        <v>50</v>
      </c>
      <c r="D61" s="17" t="s">
        <v>78</v>
      </c>
      <c r="E61" s="15">
        <v>28</v>
      </c>
      <c r="F61" s="15" t="s">
        <v>52</v>
      </c>
      <c r="G61" s="15">
        <v>5486</v>
      </c>
    </row>
    <row r="62" spans="1:7" x14ac:dyDescent="0.2">
      <c r="A62" s="14">
        <v>61</v>
      </c>
      <c r="B62" s="15" t="s">
        <v>65</v>
      </c>
      <c r="C62" s="15" t="s">
        <v>50</v>
      </c>
      <c r="D62" s="15" t="s">
        <v>75</v>
      </c>
      <c r="E62" s="15">
        <v>39</v>
      </c>
      <c r="F62" s="15" t="s">
        <v>54</v>
      </c>
      <c r="G62" s="15">
        <v>1258</v>
      </c>
    </row>
    <row r="63" spans="1:7" x14ac:dyDescent="0.2">
      <c r="A63" s="14">
        <v>62</v>
      </c>
      <c r="B63" s="15" t="s">
        <v>66</v>
      </c>
      <c r="C63" s="15" t="s">
        <v>53</v>
      </c>
      <c r="D63" s="15" t="s">
        <v>76</v>
      </c>
      <c r="E63" s="15">
        <v>38</v>
      </c>
      <c r="F63" s="16" t="s">
        <v>51</v>
      </c>
      <c r="G63" s="15">
        <v>2579</v>
      </c>
    </row>
    <row r="64" spans="1:7" x14ac:dyDescent="0.2">
      <c r="A64" s="14">
        <v>63</v>
      </c>
      <c r="B64" s="15" t="s">
        <v>67</v>
      </c>
      <c r="C64" s="15" t="s">
        <v>50</v>
      </c>
      <c r="D64" s="15" t="s">
        <v>77</v>
      </c>
      <c r="E64" s="15">
        <v>32</v>
      </c>
      <c r="F64" s="15" t="s">
        <v>52</v>
      </c>
      <c r="G64" s="15">
        <v>3256</v>
      </c>
    </row>
    <row r="65" spans="1:7" x14ac:dyDescent="0.2">
      <c r="A65" s="14">
        <v>64</v>
      </c>
      <c r="B65" s="15" t="s">
        <v>68</v>
      </c>
      <c r="C65" s="15" t="s">
        <v>53</v>
      </c>
      <c r="D65" s="17" t="s">
        <v>78</v>
      </c>
      <c r="E65" s="15">
        <v>26</v>
      </c>
      <c r="F65" s="15" t="s">
        <v>54</v>
      </c>
      <c r="G65" s="15">
        <v>2587</v>
      </c>
    </row>
    <row r="66" spans="1:7" x14ac:dyDescent="0.2">
      <c r="A66" s="14">
        <v>65</v>
      </c>
      <c r="B66" s="15" t="s">
        <v>69</v>
      </c>
      <c r="C66" s="15" t="s">
        <v>50</v>
      </c>
      <c r="D66" s="15" t="s">
        <v>75</v>
      </c>
      <c r="E66" s="15">
        <v>31</v>
      </c>
      <c r="F66" s="15" t="s">
        <v>52</v>
      </c>
      <c r="G66" s="15">
        <v>3259</v>
      </c>
    </row>
    <row r="67" spans="1:7" x14ac:dyDescent="0.2">
      <c r="A67" s="14">
        <v>66</v>
      </c>
      <c r="B67" s="15" t="s">
        <v>70</v>
      </c>
      <c r="C67" s="15" t="s">
        <v>50</v>
      </c>
      <c r="D67" s="15" t="s">
        <v>76</v>
      </c>
      <c r="E67" s="15">
        <v>24</v>
      </c>
      <c r="F67" s="15" t="s">
        <v>54</v>
      </c>
      <c r="G67" s="15">
        <v>1546</v>
      </c>
    </row>
    <row r="68" spans="1:7" x14ac:dyDescent="0.2">
      <c r="A68" s="14">
        <v>67</v>
      </c>
      <c r="B68" s="15" t="s">
        <v>71</v>
      </c>
      <c r="C68" s="15" t="s">
        <v>50</v>
      </c>
      <c r="D68" s="15" t="s">
        <v>77</v>
      </c>
      <c r="E68" s="15">
        <v>39</v>
      </c>
      <c r="F68" s="16" t="s">
        <v>51</v>
      </c>
      <c r="G68" s="15">
        <v>3579</v>
      </c>
    </row>
    <row r="69" spans="1:7" x14ac:dyDescent="0.2">
      <c r="A69" s="14">
        <v>68</v>
      </c>
      <c r="B69" s="15" t="s">
        <v>72</v>
      </c>
      <c r="C69" s="15" t="s">
        <v>50</v>
      </c>
      <c r="D69" s="17" t="s">
        <v>78</v>
      </c>
      <c r="E69" s="15">
        <v>28</v>
      </c>
      <c r="F69" s="15" t="s">
        <v>52</v>
      </c>
      <c r="G69" s="15">
        <v>6597</v>
      </c>
    </row>
    <row r="70" spans="1:7" x14ac:dyDescent="0.2">
      <c r="A70" s="14">
        <v>69</v>
      </c>
      <c r="B70" s="15" t="s">
        <v>56</v>
      </c>
      <c r="C70" s="15" t="s">
        <v>50</v>
      </c>
      <c r="D70" s="15" t="s">
        <v>75</v>
      </c>
      <c r="E70" s="15">
        <v>26</v>
      </c>
      <c r="F70" s="15" t="s">
        <v>54</v>
      </c>
      <c r="G70" s="15">
        <v>9654</v>
      </c>
    </row>
    <row r="71" spans="1:7" x14ac:dyDescent="0.2">
      <c r="A71" s="14">
        <v>70</v>
      </c>
      <c r="B71" s="15" t="s">
        <v>57</v>
      </c>
      <c r="C71" s="15" t="s">
        <v>50</v>
      </c>
      <c r="D71" s="15" t="s">
        <v>76</v>
      </c>
      <c r="E71" s="15">
        <v>46</v>
      </c>
      <c r="F71" s="15" t="s">
        <v>54</v>
      </c>
      <c r="G71" s="15">
        <v>3569</v>
      </c>
    </row>
    <row r="72" spans="1:7" x14ac:dyDescent="0.2">
      <c r="A72" s="14">
        <v>71</v>
      </c>
      <c r="B72" s="15" t="s">
        <v>58</v>
      </c>
      <c r="C72" s="15" t="s">
        <v>50</v>
      </c>
      <c r="D72" s="15" t="s">
        <v>77</v>
      </c>
      <c r="E72" s="15">
        <v>37</v>
      </c>
      <c r="F72" s="16" t="s">
        <v>51</v>
      </c>
      <c r="G72" s="15">
        <v>2564</v>
      </c>
    </row>
    <row r="73" spans="1:7" x14ac:dyDescent="0.2">
      <c r="A73" s="14">
        <v>72</v>
      </c>
      <c r="B73" s="15" t="s">
        <v>59</v>
      </c>
      <c r="C73" s="15" t="s">
        <v>50</v>
      </c>
      <c r="D73" s="17" t="s">
        <v>78</v>
      </c>
      <c r="E73" s="15">
        <v>52</v>
      </c>
      <c r="F73" s="15" t="s">
        <v>52</v>
      </c>
      <c r="G73" s="15">
        <v>8561</v>
      </c>
    </row>
    <row r="74" spans="1:7" x14ac:dyDescent="0.2">
      <c r="A74" s="14">
        <v>73</v>
      </c>
      <c r="B74" s="15" t="s">
        <v>60</v>
      </c>
      <c r="C74" s="15" t="s">
        <v>50</v>
      </c>
      <c r="D74" s="15" t="s">
        <v>75</v>
      </c>
      <c r="E74" s="15">
        <v>46</v>
      </c>
      <c r="F74" s="15" t="s">
        <v>54</v>
      </c>
      <c r="G74" s="15">
        <v>5489</v>
      </c>
    </row>
    <row r="75" spans="1:7" x14ac:dyDescent="0.2">
      <c r="A75" s="14">
        <v>74</v>
      </c>
      <c r="B75" s="15" t="s">
        <v>61</v>
      </c>
      <c r="C75" s="15" t="s">
        <v>50</v>
      </c>
      <c r="D75" s="15" t="s">
        <v>76</v>
      </c>
      <c r="E75" s="15">
        <v>42</v>
      </c>
      <c r="F75" s="15" t="s">
        <v>54</v>
      </c>
      <c r="G75" s="15">
        <v>5489</v>
      </c>
    </row>
    <row r="76" spans="1:7" x14ac:dyDescent="0.2">
      <c r="A76" s="14">
        <v>75</v>
      </c>
      <c r="B76" s="15" t="s">
        <v>62</v>
      </c>
      <c r="C76" s="15" t="s">
        <v>53</v>
      </c>
      <c r="D76" s="15" t="s">
        <v>77</v>
      </c>
      <c r="E76" s="15">
        <v>21</v>
      </c>
      <c r="F76" s="16" t="s">
        <v>51</v>
      </c>
      <c r="G76" s="15">
        <v>6574</v>
      </c>
    </row>
    <row r="77" spans="1:7" x14ac:dyDescent="0.2">
      <c r="A77" s="14">
        <v>76</v>
      </c>
      <c r="B77" s="15" t="s">
        <v>63</v>
      </c>
      <c r="C77" s="15" t="s">
        <v>50</v>
      </c>
      <c r="D77" s="17" t="s">
        <v>78</v>
      </c>
      <c r="E77" s="15">
        <v>28</v>
      </c>
      <c r="F77" s="15" t="s">
        <v>52</v>
      </c>
      <c r="G77" s="15">
        <v>5555</v>
      </c>
    </row>
    <row r="78" spans="1:7" x14ac:dyDescent="0.2">
      <c r="A78" s="14">
        <v>77</v>
      </c>
      <c r="B78" s="15" t="s">
        <v>64</v>
      </c>
      <c r="C78" s="15" t="s">
        <v>50</v>
      </c>
      <c r="D78" s="15" t="s">
        <v>75</v>
      </c>
      <c r="E78" s="15">
        <v>29</v>
      </c>
      <c r="F78" s="15" t="s">
        <v>54</v>
      </c>
      <c r="G78" s="15">
        <v>6125</v>
      </c>
    </row>
    <row r="79" spans="1:7" x14ac:dyDescent="0.2">
      <c r="A79" s="14">
        <v>78</v>
      </c>
      <c r="B79" s="15" t="s">
        <v>65</v>
      </c>
      <c r="C79" s="15" t="s">
        <v>50</v>
      </c>
      <c r="D79" s="15" t="s">
        <v>76</v>
      </c>
      <c r="E79" s="15">
        <v>23</v>
      </c>
      <c r="F79" s="16" t="s">
        <v>51</v>
      </c>
      <c r="G79" s="15">
        <v>5412</v>
      </c>
    </row>
    <row r="80" spans="1:7" x14ac:dyDescent="0.2">
      <c r="A80" s="14">
        <v>79</v>
      </c>
      <c r="B80" s="15" t="s">
        <v>66</v>
      </c>
      <c r="C80" s="15" t="s">
        <v>53</v>
      </c>
      <c r="D80" s="15" t="s">
        <v>77</v>
      </c>
      <c r="E80" s="15">
        <v>41</v>
      </c>
      <c r="F80" s="15" t="s">
        <v>52</v>
      </c>
      <c r="G80" s="15">
        <v>3256</v>
      </c>
    </row>
    <row r="81" spans="1:7" x14ac:dyDescent="0.2">
      <c r="A81" s="14">
        <v>80</v>
      </c>
      <c r="B81" s="15" t="s">
        <v>67</v>
      </c>
      <c r="C81" s="15" t="s">
        <v>50</v>
      </c>
      <c r="D81" s="17" t="s">
        <v>78</v>
      </c>
      <c r="E81" s="15">
        <v>28</v>
      </c>
      <c r="F81" s="15" t="s">
        <v>54</v>
      </c>
      <c r="G81" s="15">
        <v>3264</v>
      </c>
    </row>
    <row r="82" spans="1:7" x14ac:dyDescent="0.2">
      <c r="A82" s="14">
        <v>81</v>
      </c>
      <c r="B82" s="15" t="s">
        <v>68</v>
      </c>
      <c r="C82" s="15" t="s">
        <v>50</v>
      </c>
      <c r="D82" s="15" t="s">
        <v>75</v>
      </c>
      <c r="E82" s="15">
        <v>37</v>
      </c>
      <c r="F82" s="16" t="s">
        <v>51</v>
      </c>
      <c r="G82" s="15">
        <v>4569</v>
      </c>
    </row>
    <row r="83" spans="1:7" x14ac:dyDescent="0.2">
      <c r="A83" s="14">
        <v>82</v>
      </c>
      <c r="B83" s="15" t="s">
        <v>69</v>
      </c>
      <c r="C83" s="15" t="s">
        <v>50</v>
      </c>
      <c r="D83" s="15" t="s">
        <v>76</v>
      </c>
      <c r="E83" s="15">
        <v>34</v>
      </c>
      <c r="F83" s="15" t="s">
        <v>52</v>
      </c>
      <c r="G83" s="15">
        <v>7521</v>
      </c>
    </row>
    <row r="84" spans="1:7" x14ac:dyDescent="0.2">
      <c r="A84" s="14">
        <v>83</v>
      </c>
      <c r="B84" s="15" t="s">
        <v>70</v>
      </c>
      <c r="C84" s="15" t="s">
        <v>50</v>
      </c>
      <c r="D84" s="15" t="s">
        <v>77</v>
      </c>
      <c r="E84" s="15">
        <v>26</v>
      </c>
      <c r="F84" s="15" t="s">
        <v>54</v>
      </c>
      <c r="G84" s="15">
        <v>6458</v>
      </c>
    </row>
    <row r="85" spans="1:7" x14ac:dyDescent="0.2">
      <c r="A85" s="14">
        <v>84</v>
      </c>
      <c r="B85" s="15" t="s">
        <v>71</v>
      </c>
      <c r="C85" s="15" t="s">
        <v>50</v>
      </c>
      <c r="D85" s="17" t="s">
        <v>78</v>
      </c>
      <c r="E85" s="15">
        <v>35</v>
      </c>
      <c r="F85" s="15" t="s">
        <v>52</v>
      </c>
      <c r="G85" s="15">
        <v>7569</v>
      </c>
    </row>
    <row r="86" spans="1:7" x14ac:dyDescent="0.2">
      <c r="A86" s="14">
        <v>85</v>
      </c>
      <c r="B86" s="15" t="s">
        <v>72</v>
      </c>
      <c r="C86" s="15" t="s">
        <v>53</v>
      </c>
      <c r="D86" s="15" t="s">
        <v>75</v>
      </c>
      <c r="E86" s="15">
        <v>36</v>
      </c>
      <c r="F86" s="15" t="s">
        <v>54</v>
      </c>
      <c r="G86" s="15">
        <v>8514</v>
      </c>
    </row>
    <row r="87" spans="1:7" x14ac:dyDescent="0.2">
      <c r="A87" s="14">
        <v>86</v>
      </c>
      <c r="B87" s="15" t="s">
        <v>56</v>
      </c>
      <c r="C87" s="15" t="s">
        <v>50</v>
      </c>
      <c r="D87" s="15" t="s">
        <v>76</v>
      </c>
      <c r="E87" s="15">
        <v>29</v>
      </c>
      <c r="F87" s="16" t="s">
        <v>51</v>
      </c>
      <c r="G87" s="15">
        <v>8563</v>
      </c>
    </row>
    <row r="88" spans="1:7" x14ac:dyDescent="0.2">
      <c r="A88" s="14">
        <v>87</v>
      </c>
      <c r="B88" s="15" t="s">
        <v>57</v>
      </c>
      <c r="C88" s="15" t="s">
        <v>50</v>
      </c>
      <c r="D88" s="15" t="s">
        <v>77</v>
      </c>
      <c r="E88" s="15">
        <v>27</v>
      </c>
      <c r="F88" s="15" t="s">
        <v>52</v>
      </c>
      <c r="G88" s="15">
        <v>8642</v>
      </c>
    </row>
    <row r="89" spans="1:7" x14ac:dyDescent="0.2">
      <c r="A89" s="14">
        <v>88</v>
      </c>
      <c r="B89" s="15" t="s">
        <v>58</v>
      </c>
      <c r="C89" s="15" t="s">
        <v>50</v>
      </c>
      <c r="D89" s="17" t="s">
        <v>78</v>
      </c>
      <c r="E89" s="15">
        <v>25</v>
      </c>
      <c r="F89" s="15" t="s">
        <v>54</v>
      </c>
      <c r="G89" s="15">
        <v>9536</v>
      </c>
    </row>
    <row r="90" spans="1:7" x14ac:dyDescent="0.2">
      <c r="A90" s="14">
        <v>89</v>
      </c>
      <c r="B90" s="15" t="s">
        <v>59</v>
      </c>
      <c r="C90" s="15" t="s">
        <v>50</v>
      </c>
      <c r="D90" s="15" t="s">
        <v>75</v>
      </c>
      <c r="E90" s="15">
        <v>36</v>
      </c>
      <c r="F90" s="15" t="s">
        <v>54</v>
      </c>
      <c r="G90" s="15">
        <v>2567</v>
      </c>
    </row>
    <row r="91" spans="1:7" x14ac:dyDescent="0.2">
      <c r="A91" s="14">
        <v>90</v>
      </c>
      <c r="B91" s="15" t="s">
        <v>60</v>
      </c>
      <c r="C91" s="15" t="s">
        <v>53</v>
      </c>
      <c r="D91" s="15" t="s">
        <v>76</v>
      </c>
      <c r="E91" s="15">
        <v>37</v>
      </c>
      <c r="F91" s="16" t="s">
        <v>51</v>
      </c>
      <c r="G91" s="15">
        <v>2154</v>
      </c>
    </row>
    <row r="92" spans="1:7" x14ac:dyDescent="0.2">
      <c r="A92" s="14">
        <v>91</v>
      </c>
      <c r="B92" s="15" t="s">
        <v>61</v>
      </c>
      <c r="C92" s="15" t="s">
        <v>53</v>
      </c>
      <c r="D92" s="15" t="s">
        <v>77</v>
      </c>
      <c r="E92" s="15">
        <v>26</v>
      </c>
      <c r="F92" s="15" t="s">
        <v>52</v>
      </c>
      <c r="G92" s="15">
        <v>3265</v>
      </c>
    </row>
    <row r="93" spans="1:7" x14ac:dyDescent="0.2">
      <c r="A93" s="14">
        <v>92</v>
      </c>
      <c r="B93" s="15" t="s">
        <v>62</v>
      </c>
      <c r="C93" s="15" t="s">
        <v>50</v>
      </c>
      <c r="D93" s="17" t="s">
        <v>78</v>
      </c>
      <c r="E93" s="15">
        <v>37</v>
      </c>
      <c r="F93" s="15" t="s">
        <v>54</v>
      </c>
      <c r="G93" s="15">
        <v>8765</v>
      </c>
    </row>
    <row r="94" spans="1:7" x14ac:dyDescent="0.2">
      <c r="A94" s="14">
        <v>93</v>
      </c>
      <c r="B94" s="15" t="s">
        <v>63</v>
      </c>
      <c r="C94" s="15" t="s">
        <v>53</v>
      </c>
      <c r="D94" s="15" t="s">
        <v>75</v>
      </c>
      <c r="E94" s="15">
        <v>24</v>
      </c>
      <c r="F94" s="16" t="s">
        <v>51</v>
      </c>
      <c r="G94" s="15">
        <v>3259</v>
      </c>
    </row>
    <row r="95" spans="1:7" x14ac:dyDescent="0.2">
      <c r="A95" s="14">
        <v>94</v>
      </c>
      <c r="B95" s="15" t="s">
        <v>64</v>
      </c>
      <c r="C95" s="15" t="s">
        <v>50</v>
      </c>
      <c r="D95" s="15" t="s">
        <v>76</v>
      </c>
      <c r="E95" s="15">
        <v>39</v>
      </c>
      <c r="F95" s="15" t="s">
        <v>52</v>
      </c>
      <c r="G95" s="15">
        <v>3567</v>
      </c>
    </row>
    <row r="96" spans="1:7" x14ac:dyDescent="0.2">
      <c r="A96" s="14">
        <v>95</v>
      </c>
      <c r="B96" s="15" t="s">
        <v>65</v>
      </c>
      <c r="C96" s="15" t="s">
        <v>53</v>
      </c>
      <c r="D96" s="15" t="s">
        <v>77</v>
      </c>
      <c r="E96" s="15">
        <v>26</v>
      </c>
      <c r="F96" s="15" t="s">
        <v>54</v>
      </c>
      <c r="G96" s="15">
        <v>6540</v>
      </c>
    </row>
    <row r="97" spans="1:7" x14ac:dyDescent="0.2">
      <c r="A97" s="14">
        <v>96</v>
      </c>
      <c r="B97" s="15" t="s">
        <v>66</v>
      </c>
      <c r="C97" s="15" t="s">
        <v>50</v>
      </c>
      <c r="D97" s="17" t="s">
        <v>78</v>
      </c>
      <c r="E97" s="15">
        <v>34</v>
      </c>
      <c r="F97" s="16" t="s">
        <v>51</v>
      </c>
      <c r="G97" s="15">
        <v>2654</v>
      </c>
    </row>
    <row r="98" spans="1:7" x14ac:dyDescent="0.2">
      <c r="A98" s="14">
        <v>97</v>
      </c>
      <c r="B98" s="15" t="s">
        <v>67</v>
      </c>
      <c r="C98" s="15" t="s">
        <v>50</v>
      </c>
      <c r="D98" s="15" t="s">
        <v>75</v>
      </c>
      <c r="E98" s="15">
        <v>28</v>
      </c>
      <c r="F98" s="15" t="s">
        <v>52</v>
      </c>
      <c r="G98" s="15">
        <v>6525</v>
      </c>
    </row>
    <row r="99" spans="1:7" x14ac:dyDescent="0.2">
      <c r="A99" s="14">
        <v>98</v>
      </c>
      <c r="B99" s="15" t="s">
        <v>68</v>
      </c>
      <c r="C99" s="15" t="s">
        <v>50</v>
      </c>
      <c r="D99" s="15" t="s">
        <v>76</v>
      </c>
      <c r="E99" s="15">
        <v>32</v>
      </c>
      <c r="F99" s="15" t="s">
        <v>54</v>
      </c>
      <c r="G99" s="15">
        <v>3265</v>
      </c>
    </row>
    <row r="100" spans="1:7" x14ac:dyDescent="0.2">
      <c r="A100" s="14">
        <v>99</v>
      </c>
      <c r="B100" s="15" t="s">
        <v>69</v>
      </c>
      <c r="C100" s="15" t="s">
        <v>53</v>
      </c>
      <c r="D100" s="15" t="s">
        <v>77</v>
      </c>
      <c r="E100" s="15">
        <v>39</v>
      </c>
      <c r="F100" s="16" t="s">
        <v>51</v>
      </c>
      <c r="G100" s="15">
        <v>3265</v>
      </c>
    </row>
    <row r="101" spans="1:7" x14ac:dyDescent="0.2">
      <c r="A101" s="14">
        <v>100</v>
      </c>
      <c r="B101" s="15" t="s">
        <v>70</v>
      </c>
      <c r="C101" s="15" t="s">
        <v>50</v>
      </c>
      <c r="D101" s="17" t="s">
        <v>78</v>
      </c>
      <c r="E101" s="15">
        <v>29</v>
      </c>
      <c r="F101" s="15" t="s">
        <v>52</v>
      </c>
      <c r="G101" s="15">
        <v>6125</v>
      </c>
    </row>
    <row r="102" spans="1:7" x14ac:dyDescent="0.2">
      <c r="A102" s="11"/>
    </row>
    <row r="103" spans="1:7" x14ac:dyDescent="0.2">
      <c r="A103" s="11"/>
    </row>
    <row r="104" spans="1:7" x14ac:dyDescent="0.2">
      <c r="A104" s="11"/>
    </row>
    <row r="105" spans="1:7" x14ac:dyDescent="0.2">
      <c r="A105" s="11"/>
    </row>
    <row r="106" spans="1:7" x14ac:dyDescent="0.2">
      <c r="A106" s="11"/>
    </row>
    <row r="107" spans="1:7" x14ac:dyDescent="0.2">
      <c r="A107" s="11"/>
    </row>
  </sheetData>
  <pageMargins left="0.7" right="0.22" top="0.56999999999999995" bottom="0.75" header="0.3" footer="0.3"/>
  <pageSetup paperSize="9" fitToHeight="0"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7"/>
  <sheetViews>
    <sheetView topLeftCell="E1" zoomScale="145" zoomScaleNormal="145" workbookViewId="0">
      <selection activeCell="I5" sqref="I5"/>
    </sheetView>
  </sheetViews>
  <sheetFormatPr defaultRowHeight="14.25" x14ac:dyDescent="0.2"/>
  <cols>
    <col min="1" max="1" width="5.75" style="12" bestFit="1" customWidth="1"/>
    <col min="2" max="2" width="19.125" customWidth="1"/>
    <col min="3" max="3" width="11.875" customWidth="1"/>
    <col min="4" max="4" width="11.625" customWidth="1"/>
    <col min="5" max="5" width="7.5" customWidth="1"/>
    <col min="6" max="6" width="12.125" customWidth="1"/>
    <col min="7" max="7" width="9.5" customWidth="1"/>
  </cols>
  <sheetData>
    <row r="1" spans="1:14" x14ac:dyDescent="0.2">
      <c r="A1" s="13" t="s">
        <v>55</v>
      </c>
      <c r="B1" s="13" t="s">
        <v>73</v>
      </c>
      <c r="C1" s="13" t="s">
        <v>46</v>
      </c>
      <c r="D1" s="13" t="s">
        <v>74</v>
      </c>
      <c r="E1" s="13" t="s">
        <v>47</v>
      </c>
      <c r="F1" s="13" t="s">
        <v>48</v>
      </c>
      <c r="G1" s="13" t="s">
        <v>49</v>
      </c>
      <c r="H1" s="13" t="s">
        <v>49</v>
      </c>
      <c r="I1" s="13" t="s">
        <v>49</v>
      </c>
      <c r="J1" s="13" t="s">
        <v>49</v>
      </c>
      <c r="K1" s="13" t="s">
        <v>49</v>
      </c>
      <c r="L1" s="13" t="s">
        <v>49</v>
      </c>
      <c r="M1" s="13" t="s">
        <v>49</v>
      </c>
      <c r="N1" s="13" t="s">
        <v>49</v>
      </c>
    </row>
    <row r="2" spans="1:14" x14ac:dyDescent="0.2">
      <c r="A2" s="14">
        <v>1</v>
      </c>
      <c r="B2" s="15" t="s">
        <v>56</v>
      </c>
      <c r="C2" s="15" t="s">
        <v>50</v>
      </c>
      <c r="D2" s="15" t="s">
        <v>75</v>
      </c>
      <c r="E2" s="15">
        <v>32</v>
      </c>
      <c r="F2" s="16" t="s">
        <v>51</v>
      </c>
      <c r="G2" s="15">
        <v>1562</v>
      </c>
      <c r="H2" s="15">
        <v>1562</v>
      </c>
      <c r="I2" s="15">
        <v>1562</v>
      </c>
      <c r="J2" s="15">
        <v>1562</v>
      </c>
      <c r="K2" s="15">
        <v>1562</v>
      </c>
      <c r="L2" s="15">
        <v>1562</v>
      </c>
      <c r="M2" s="15">
        <v>1562</v>
      </c>
      <c r="N2" s="15">
        <v>1562</v>
      </c>
    </row>
    <row r="3" spans="1:14" x14ac:dyDescent="0.2">
      <c r="A3" s="14">
        <v>2</v>
      </c>
      <c r="B3" s="15" t="s">
        <v>57</v>
      </c>
      <c r="C3" s="15" t="s">
        <v>50</v>
      </c>
      <c r="D3" s="15" t="s">
        <v>76</v>
      </c>
      <c r="E3" s="15">
        <v>25</v>
      </c>
      <c r="F3" s="15" t="s">
        <v>52</v>
      </c>
      <c r="G3" s="15">
        <v>1582</v>
      </c>
      <c r="H3" s="15">
        <v>1582</v>
      </c>
      <c r="I3" s="15">
        <v>1582</v>
      </c>
      <c r="J3" s="15">
        <v>1582</v>
      </c>
      <c r="K3" s="15">
        <v>1582</v>
      </c>
      <c r="L3" s="15">
        <v>1582</v>
      </c>
      <c r="M3" s="15">
        <v>1582</v>
      </c>
      <c r="N3" s="15">
        <v>1582</v>
      </c>
    </row>
    <row r="4" spans="1:14" x14ac:dyDescent="0.2">
      <c r="A4" s="14">
        <v>3</v>
      </c>
      <c r="B4" s="15" t="s">
        <v>58</v>
      </c>
      <c r="C4" s="15" t="s">
        <v>53</v>
      </c>
      <c r="D4" s="15" t="s">
        <v>77</v>
      </c>
      <c r="E4" s="15">
        <v>36</v>
      </c>
      <c r="F4" s="15" t="s">
        <v>54</v>
      </c>
      <c r="G4" s="15">
        <v>2587</v>
      </c>
    </row>
    <row r="5" spans="1:14" x14ac:dyDescent="0.2">
      <c r="A5" s="14">
        <v>4</v>
      </c>
      <c r="B5" s="15" t="s">
        <v>59</v>
      </c>
      <c r="C5" s="15" t="s">
        <v>50</v>
      </c>
      <c r="D5" s="17" t="s">
        <v>78</v>
      </c>
      <c r="E5" s="15">
        <v>25</v>
      </c>
      <c r="F5" s="16" t="s">
        <v>51</v>
      </c>
      <c r="G5" s="15">
        <v>3549</v>
      </c>
    </row>
    <row r="6" spans="1:14" x14ac:dyDescent="0.2">
      <c r="A6" s="14">
        <v>5</v>
      </c>
      <c r="B6" s="15" t="s">
        <v>60</v>
      </c>
      <c r="C6" s="15" t="s">
        <v>50</v>
      </c>
      <c r="D6" s="15" t="s">
        <v>75</v>
      </c>
      <c r="E6" s="15">
        <v>58</v>
      </c>
      <c r="F6" s="15" t="s">
        <v>52</v>
      </c>
      <c r="G6" s="15">
        <v>2468</v>
      </c>
    </row>
    <row r="7" spans="1:14" x14ac:dyDescent="0.2">
      <c r="A7" s="14">
        <v>6</v>
      </c>
      <c r="B7" s="15" t="s">
        <v>61</v>
      </c>
      <c r="C7" s="17" t="s">
        <v>53</v>
      </c>
      <c r="D7" s="15" t="s">
        <v>76</v>
      </c>
      <c r="E7" s="15">
        <v>24</v>
      </c>
      <c r="F7" s="15" t="s">
        <v>54</v>
      </c>
      <c r="G7" s="15">
        <v>2554</v>
      </c>
    </row>
    <row r="8" spans="1:14" x14ac:dyDescent="0.2">
      <c r="A8" s="14">
        <v>7</v>
      </c>
      <c r="B8" s="15" t="s">
        <v>62</v>
      </c>
      <c r="C8" s="15" t="s">
        <v>50</v>
      </c>
      <c r="D8" s="15" t="s">
        <v>77</v>
      </c>
      <c r="E8" s="15">
        <v>56</v>
      </c>
      <c r="F8" s="16" t="s">
        <v>51</v>
      </c>
      <c r="G8" s="15">
        <v>3598</v>
      </c>
    </row>
    <row r="9" spans="1:14" x14ac:dyDescent="0.2">
      <c r="A9" s="14">
        <v>8</v>
      </c>
      <c r="B9" s="15" t="s">
        <v>63</v>
      </c>
      <c r="C9" s="15" t="s">
        <v>50</v>
      </c>
      <c r="D9" s="17" t="s">
        <v>78</v>
      </c>
      <c r="E9" s="15">
        <v>27</v>
      </c>
      <c r="F9" s="15" t="s">
        <v>52</v>
      </c>
      <c r="G9" s="15">
        <v>2456</v>
      </c>
    </row>
    <row r="10" spans="1:14" x14ac:dyDescent="0.2">
      <c r="A10" s="14">
        <v>9</v>
      </c>
      <c r="B10" s="15" t="s">
        <v>64</v>
      </c>
      <c r="C10" s="15" t="s">
        <v>50</v>
      </c>
      <c r="D10" s="15" t="s">
        <v>75</v>
      </c>
      <c r="E10" s="15">
        <v>40</v>
      </c>
      <c r="F10" s="15" t="s">
        <v>54</v>
      </c>
      <c r="G10" s="15">
        <v>6548</v>
      </c>
    </row>
    <row r="11" spans="1:14" x14ac:dyDescent="0.2">
      <c r="A11" s="14">
        <v>10</v>
      </c>
      <c r="B11" s="15" t="s">
        <v>65</v>
      </c>
      <c r="C11" s="15" t="s">
        <v>50</v>
      </c>
      <c r="D11" s="15" t="s">
        <v>76</v>
      </c>
      <c r="E11" s="15">
        <v>28</v>
      </c>
      <c r="F11" s="15" t="s">
        <v>52</v>
      </c>
      <c r="G11" s="15">
        <v>5486</v>
      </c>
    </row>
    <row r="12" spans="1:14" x14ac:dyDescent="0.2">
      <c r="A12" s="14">
        <v>11</v>
      </c>
      <c r="B12" s="15" t="s">
        <v>66</v>
      </c>
      <c r="C12" s="15" t="s">
        <v>50</v>
      </c>
      <c r="D12" s="15" t="s">
        <v>77</v>
      </c>
      <c r="E12" s="15">
        <v>39</v>
      </c>
      <c r="F12" s="15" t="s">
        <v>54</v>
      </c>
      <c r="G12" s="15">
        <v>1258</v>
      </c>
    </row>
    <row r="13" spans="1:14" x14ac:dyDescent="0.2">
      <c r="A13" s="14">
        <v>12</v>
      </c>
      <c r="B13" s="15" t="s">
        <v>67</v>
      </c>
      <c r="C13" s="15" t="s">
        <v>53</v>
      </c>
      <c r="D13" s="17" t="s">
        <v>78</v>
      </c>
      <c r="E13" s="15">
        <v>38</v>
      </c>
      <c r="F13" s="16" t="s">
        <v>51</v>
      </c>
      <c r="G13" s="15">
        <v>2579</v>
      </c>
    </row>
    <row r="14" spans="1:14" x14ac:dyDescent="0.2">
      <c r="A14" s="14">
        <v>13</v>
      </c>
      <c r="B14" s="15" t="s">
        <v>68</v>
      </c>
      <c r="C14" s="15" t="s">
        <v>50</v>
      </c>
      <c r="D14" s="15" t="s">
        <v>75</v>
      </c>
      <c r="E14" s="15">
        <v>32</v>
      </c>
      <c r="F14" s="15" t="s">
        <v>52</v>
      </c>
      <c r="G14" s="15">
        <v>3256</v>
      </c>
    </row>
    <row r="15" spans="1:14" x14ac:dyDescent="0.2">
      <c r="A15" s="14">
        <v>14</v>
      </c>
      <c r="B15" s="15" t="s">
        <v>69</v>
      </c>
      <c r="C15" s="15" t="s">
        <v>53</v>
      </c>
      <c r="D15" s="15" t="s">
        <v>76</v>
      </c>
      <c r="E15" s="15">
        <v>26</v>
      </c>
      <c r="F15" s="15" t="s">
        <v>54</v>
      </c>
      <c r="G15" s="15">
        <v>2587</v>
      </c>
    </row>
    <row r="16" spans="1:14" x14ac:dyDescent="0.2">
      <c r="A16" s="14">
        <v>15</v>
      </c>
      <c r="B16" s="15" t="s">
        <v>70</v>
      </c>
      <c r="C16" s="15" t="s">
        <v>50</v>
      </c>
      <c r="D16" s="15" t="s">
        <v>77</v>
      </c>
      <c r="E16" s="15">
        <v>31</v>
      </c>
      <c r="F16" s="15" t="s">
        <v>52</v>
      </c>
      <c r="G16" s="15">
        <v>3259</v>
      </c>
    </row>
    <row r="17" spans="1:7" x14ac:dyDescent="0.2">
      <c r="A17" s="14">
        <v>16</v>
      </c>
      <c r="B17" s="15" t="s">
        <v>71</v>
      </c>
      <c r="C17" s="15" t="s">
        <v>50</v>
      </c>
      <c r="D17" s="17" t="s">
        <v>78</v>
      </c>
      <c r="E17" s="15">
        <v>24</v>
      </c>
      <c r="F17" s="15" t="s">
        <v>54</v>
      </c>
      <c r="G17" s="15">
        <v>1546</v>
      </c>
    </row>
    <row r="18" spans="1:7" x14ac:dyDescent="0.2">
      <c r="A18" s="14">
        <v>17</v>
      </c>
      <c r="B18" s="15" t="s">
        <v>72</v>
      </c>
      <c r="C18" s="15" t="s">
        <v>50</v>
      </c>
      <c r="D18" s="15" t="s">
        <v>75</v>
      </c>
      <c r="E18" s="15">
        <v>39</v>
      </c>
      <c r="F18" s="16" t="s">
        <v>51</v>
      </c>
      <c r="G18" s="15">
        <v>3579</v>
      </c>
    </row>
    <row r="19" spans="1:7" x14ac:dyDescent="0.2">
      <c r="A19" s="14">
        <v>18</v>
      </c>
      <c r="B19" s="15" t="s">
        <v>56</v>
      </c>
      <c r="C19" s="15" t="s">
        <v>50</v>
      </c>
      <c r="D19" s="15" t="s">
        <v>76</v>
      </c>
      <c r="E19" s="15">
        <v>28</v>
      </c>
      <c r="F19" s="15" t="s">
        <v>52</v>
      </c>
      <c r="G19" s="15">
        <v>6597</v>
      </c>
    </row>
    <row r="20" spans="1:7" x14ac:dyDescent="0.2">
      <c r="A20" s="14">
        <v>19</v>
      </c>
      <c r="B20" s="15" t="s">
        <v>57</v>
      </c>
      <c r="C20" s="15" t="s">
        <v>50</v>
      </c>
      <c r="D20" s="15" t="s">
        <v>77</v>
      </c>
      <c r="E20" s="15">
        <v>26</v>
      </c>
      <c r="F20" s="15" t="s">
        <v>54</v>
      </c>
      <c r="G20" s="15">
        <v>9654</v>
      </c>
    </row>
    <row r="21" spans="1:7" x14ac:dyDescent="0.2">
      <c r="A21" s="14">
        <v>20</v>
      </c>
      <c r="B21" s="15" t="s">
        <v>58</v>
      </c>
      <c r="C21" s="15" t="s">
        <v>50</v>
      </c>
      <c r="D21" s="17" t="s">
        <v>78</v>
      </c>
      <c r="E21" s="15">
        <v>46</v>
      </c>
      <c r="F21" s="15" t="s">
        <v>54</v>
      </c>
      <c r="G21" s="15">
        <v>3569</v>
      </c>
    </row>
    <row r="22" spans="1:7" x14ac:dyDescent="0.2">
      <c r="A22" s="14">
        <v>21</v>
      </c>
      <c r="B22" s="15" t="s">
        <v>59</v>
      </c>
      <c r="C22" s="15" t="s">
        <v>50</v>
      </c>
      <c r="D22" s="15" t="s">
        <v>75</v>
      </c>
      <c r="E22" s="15">
        <v>37</v>
      </c>
      <c r="F22" s="16" t="s">
        <v>51</v>
      </c>
      <c r="G22" s="15">
        <v>2564</v>
      </c>
    </row>
    <row r="23" spans="1:7" x14ac:dyDescent="0.2">
      <c r="A23" s="14">
        <v>22</v>
      </c>
      <c r="B23" s="15" t="s">
        <v>60</v>
      </c>
      <c r="C23" s="15" t="s">
        <v>50</v>
      </c>
      <c r="D23" s="15" t="s">
        <v>76</v>
      </c>
      <c r="E23" s="15">
        <v>52</v>
      </c>
      <c r="F23" s="15" t="s">
        <v>52</v>
      </c>
      <c r="G23" s="15">
        <v>8561</v>
      </c>
    </row>
    <row r="24" spans="1:7" x14ac:dyDescent="0.2">
      <c r="A24" s="14">
        <v>23</v>
      </c>
      <c r="B24" s="15" t="s">
        <v>61</v>
      </c>
      <c r="C24" s="15" t="s">
        <v>50</v>
      </c>
      <c r="D24" s="15" t="s">
        <v>77</v>
      </c>
      <c r="E24" s="15">
        <v>46</v>
      </c>
      <c r="F24" s="15" t="s">
        <v>54</v>
      </c>
      <c r="G24" s="15">
        <v>5489</v>
      </c>
    </row>
    <row r="25" spans="1:7" x14ac:dyDescent="0.2">
      <c r="A25" s="14">
        <v>24</v>
      </c>
      <c r="B25" s="15" t="s">
        <v>62</v>
      </c>
      <c r="C25" s="15" t="s">
        <v>50</v>
      </c>
      <c r="D25" s="17" t="s">
        <v>78</v>
      </c>
      <c r="E25" s="15">
        <v>42</v>
      </c>
      <c r="F25" s="15" t="s">
        <v>54</v>
      </c>
      <c r="G25" s="15">
        <v>5489</v>
      </c>
    </row>
    <row r="26" spans="1:7" x14ac:dyDescent="0.2">
      <c r="A26" s="14">
        <v>25</v>
      </c>
      <c r="B26" s="15" t="s">
        <v>63</v>
      </c>
      <c r="C26" s="15" t="s">
        <v>53</v>
      </c>
      <c r="D26" s="15" t="s">
        <v>75</v>
      </c>
      <c r="E26" s="15">
        <v>21</v>
      </c>
      <c r="F26" s="16" t="s">
        <v>51</v>
      </c>
      <c r="G26" s="15">
        <v>6574</v>
      </c>
    </row>
    <row r="27" spans="1:7" x14ac:dyDescent="0.2">
      <c r="A27" s="14">
        <v>26</v>
      </c>
      <c r="B27" s="15" t="s">
        <v>64</v>
      </c>
      <c r="C27" s="15" t="s">
        <v>50</v>
      </c>
      <c r="D27" s="15" t="s">
        <v>76</v>
      </c>
      <c r="E27" s="15">
        <v>28</v>
      </c>
      <c r="F27" s="15" t="s">
        <v>52</v>
      </c>
      <c r="G27" s="15">
        <v>5555</v>
      </c>
    </row>
    <row r="28" spans="1:7" x14ac:dyDescent="0.2">
      <c r="A28" s="14">
        <v>27</v>
      </c>
      <c r="B28" s="15" t="s">
        <v>65</v>
      </c>
      <c r="C28" s="15" t="s">
        <v>50</v>
      </c>
      <c r="D28" s="15" t="s">
        <v>77</v>
      </c>
      <c r="E28" s="15">
        <v>29</v>
      </c>
      <c r="F28" s="15" t="s">
        <v>54</v>
      </c>
      <c r="G28" s="15">
        <v>6125</v>
      </c>
    </row>
    <row r="29" spans="1:7" x14ac:dyDescent="0.2">
      <c r="A29" s="14">
        <v>28</v>
      </c>
      <c r="B29" s="15" t="s">
        <v>66</v>
      </c>
      <c r="C29" s="15" t="s">
        <v>50</v>
      </c>
      <c r="D29" s="17" t="s">
        <v>78</v>
      </c>
      <c r="E29" s="15">
        <v>23</v>
      </c>
      <c r="F29" s="16" t="s">
        <v>51</v>
      </c>
      <c r="G29" s="15">
        <v>5412</v>
      </c>
    </row>
    <row r="30" spans="1:7" x14ac:dyDescent="0.2">
      <c r="A30" s="14">
        <v>29</v>
      </c>
      <c r="B30" s="15" t="s">
        <v>67</v>
      </c>
      <c r="C30" s="15" t="s">
        <v>53</v>
      </c>
      <c r="D30" s="15" t="s">
        <v>75</v>
      </c>
      <c r="E30" s="15">
        <v>41</v>
      </c>
      <c r="F30" s="15" t="s">
        <v>52</v>
      </c>
      <c r="G30" s="15">
        <v>3256</v>
      </c>
    </row>
    <row r="31" spans="1:7" x14ac:dyDescent="0.2">
      <c r="A31" s="14">
        <v>30</v>
      </c>
      <c r="B31" s="15" t="s">
        <v>68</v>
      </c>
      <c r="C31" s="15" t="s">
        <v>50</v>
      </c>
      <c r="D31" s="15" t="s">
        <v>76</v>
      </c>
      <c r="E31" s="15">
        <v>28</v>
      </c>
      <c r="F31" s="15" t="s">
        <v>54</v>
      </c>
      <c r="G31" s="15">
        <v>3264</v>
      </c>
    </row>
    <row r="32" spans="1:7" x14ac:dyDescent="0.2">
      <c r="A32" s="14">
        <v>31</v>
      </c>
      <c r="B32" s="15" t="s">
        <v>69</v>
      </c>
      <c r="C32" s="15" t="s">
        <v>50</v>
      </c>
      <c r="D32" s="15" t="s">
        <v>77</v>
      </c>
      <c r="E32" s="15">
        <v>37</v>
      </c>
      <c r="F32" s="16" t="s">
        <v>51</v>
      </c>
      <c r="G32" s="15">
        <v>4569</v>
      </c>
    </row>
    <row r="33" spans="1:7" x14ac:dyDescent="0.2">
      <c r="A33" s="14">
        <v>32</v>
      </c>
      <c r="B33" s="15" t="s">
        <v>70</v>
      </c>
      <c r="C33" s="15" t="s">
        <v>50</v>
      </c>
      <c r="D33" s="17" t="s">
        <v>78</v>
      </c>
      <c r="E33" s="15">
        <v>34</v>
      </c>
      <c r="F33" s="15" t="s">
        <v>52</v>
      </c>
      <c r="G33" s="15">
        <v>7521</v>
      </c>
    </row>
    <row r="34" spans="1:7" x14ac:dyDescent="0.2">
      <c r="A34" s="14">
        <v>33</v>
      </c>
      <c r="B34" s="15" t="s">
        <v>71</v>
      </c>
      <c r="C34" s="15" t="s">
        <v>50</v>
      </c>
      <c r="D34" s="15" t="s">
        <v>75</v>
      </c>
      <c r="E34" s="15">
        <v>26</v>
      </c>
      <c r="F34" s="15" t="s">
        <v>54</v>
      </c>
      <c r="G34" s="15">
        <v>6458</v>
      </c>
    </row>
    <row r="35" spans="1:7" x14ac:dyDescent="0.2">
      <c r="A35" s="14">
        <v>34</v>
      </c>
      <c r="B35" s="15" t="s">
        <v>72</v>
      </c>
      <c r="C35" s="15" t="s">
        <v>50</v>
      </c>
      <c r="D35" s="15" t="s">
        <v>76</v>
      </c>
      <c r="E35" s="15">
        <v>35</v>
      </c>
      <c r="F35" s="15" t="s">
        <v>52</v>
      </c>
      <c r="G35" s="15">
        <v>7569</v>
      </c>
    </row>
    <row r="36" spans="1:7" x14ac:dyDescent="0.2">
      <c r="A36" s="14">
        <v>35</v>
      </c>
      <c r="B36" s="15" t="s">
        <v>56</v>
      </c>
      <c r="C36" s="15" t="s">
        <v>53</v>
      </c>
      <c r="D36" s="15" t="s">
        <v>77</v>
      </c>
      <c r="E36" s="15">
        <v>36</v>
      </c>
      <c r="F36" s="15" t="s">
        <v>54</v>
      </c>
      <c r="G36" s="15">
        <v>8514</v>
      </c>
    </row>
    <row r="37" spans="1:7" x14ac:dyDescent="0.2">
      <c r="A37" s="14">
        <v>36</v>
      </c>
      <c r="B37" s="15" t="s">
        <v>57</v>
      </c>
      <c r="C37" s="15" t="s">
        <v>50</v>
      </c>
      <c r="D37" s="17" t="s">
        <v>78</v>
      </c>
      <c r="E37" s="15">
        <v>29</v>
      </c>
      <c r="F37" s="16" t="s">
        <v>51</v>
      </c>
      <c r="G37" s="15">
        <v>8563</v>
      </c>
    </row>
    <row r="38" spans="1:7" x14ac:dyDescent="0.2">
      <c r="A38" s="14">
        <v>37</v>
      </c>
      <c r="B38" s="15" t="s">
        <v>58</v>
      </c>
      <c r="C38" s="15" t="s">
        <v>50</v>
      </c>
      <c r="D38" s="15" t="s">
        <v>75</v>
      </c>
      <c r="E38" s="15">
        <v>27</v>
      </c>
      <c r="F38" s="15" t="s">
        <v>52</v>
      </c>
      <c r="G38" s="15">
        <v>8642</v>
      </c>
    </row>
    <row r="39" spans="1:7" x14ac:dyDescent="0.2">
      <c r="A39" s="14">
        <v>38</v>
      </c>
      <c r="B39" s="15" t="s">
        <v>59</v>
      </c>
      <c r="C39" s="15" t="s">
        <v>50</v>
      </c>
      <c r="D39" s="15" t="s">
        <v>76</v>
      </c>
      <c r="E39" s="15">
        <v>25</v>
      </c>
      <c r="F39" s="15" t="s">
        <v>54</v>
      </c>
      <c r="G39" s="15">
        <v>9536</v>
      </c>
    </row>
    <row r="40" spans="1:7" x14ac:dyDescent="0.2">
      <c r="A40" s="14">
        <v>39</v>
      </c>
      <c r="B40" s="15" t="s">
        <v>60</v>
      </c>
      <c r="C40" s="15" t="s">
        <v>50</v>
      </c>
      <c r="D40" s="15" t="s">
        <v>77</v>
      </c>
      <c r="E40" s="15">
        <v>36</v>
      </c>
      <c r="F40" s="15" t="s">
        <v>54</v>
      </c>
      <c r="G40" s="15">
        <v>2567</v>
      </c>
    </row>
    <row r="41" spans="1:7" x14ac:dyDescent="0.2">
      <c r="A41" s="14">
        <v>40</v>
      </c>
      <c r="B41" s="15" t="s">
        <v>61</v>
      </c>
      <c r="C41" s="15" t="s">
        <v>53</v>
      </c>
      <c r="D41" s="17" t="s">
        <v>78</v>
      </c>
      <c r="E41" s="15">
        <v>37</v>
      </c>
      <c r="F41" s="16" t="s">
        <v>51</v>
      </c>
      <c r="G41" s="15">
        <v>2154</v>
      </c>
    </row>
    <row r="42" spans="1:7" x14ac:dyDescent="0.2">
      <c r="A42" s="14">
        <v>41</v>
      </c>
      <c r="B42" s="15" t="s">
        <v>62</v>
      </c>
      <c r="C42" s="15" t="s">
        <v>53</v>
      </c>
      <c r="D42" s="15" t="s">
        <v>75</v>
      </c>
      <c r="E42" s="15">
        <v>26</v>
      </c>
      <c r="F42" s="15" t="s">
        <v>52</v>
      </c>
      <c r="G42" s="15">
        <v>3265</v>
      </c>
    </row>
    <row r="43" spans="1:7" x14ac:dyDescent="0.2">
      <c r="A43" s="14">
        <v>42</v>
      </c>
      <c r="B43" s="15" t="s">
        <v>63</v>
      </c>
      <c r="C43" s="15" t="s">
        <v>50</v>
      </c>
      <c r="D43" s="15" t="s">
        <v>76</v>
      </c>
      <c r="E43" s="15">
        <v>37</v>
      </c>
      <c r="F43" s="15" t="s">
        <v>54</v>
      </c>
      <c r="G43" s="15">
        <v>8765</v>
      </c>
    </row>
    <row r="44" spans="1:7" x14ac:dyDescent="0.2">
      <c r="A44" s="14">
        <v>43</v>
      </c>
      <c r="B44" s="15" t="s">
        <v>64</v>
      </c>
      <c r="C44" s="15" t="s">
        <v>53</v>
      </c>
      <c r="D44" s="15" t="s">
        <v>77</v>
      </c>
      <c r="E44" s="15">
        <v>24</v>
      </c>
      <c r="F44" s="16" t="s">
        <v>51</v>
      </c>
      <c r="G44" s="15">
        <v>3259</v>
      </c>
    </row>
    <row r="45" spans="1:7" x14ac:dyDescent="0.2">
      <c r="A45" s="14">
        <v>44</v>
      </c>
      <c r="B45" s="15" t="s">
        <v>65</v>
      </c>
      <c r="C45" s="15" t="s">
        <v>50</v>
      </c>
      <c r="D45" s="17" t="s">
        <v>78</v>
      </c>
      <c r="E45" s="15">
        <v>39</v>
      </c>
      <c r="F45" s="15" t="s">
        <v>52</v>
      </c>
      <c r="G45" s="15">
        <v>3567</v>
      </c>
    </row>
    <row r="46" spans="1:7" x14ac:dyDescent="0.2">
      <c r="A46" s="14">
        <v>45</v>
      </c>
      <c r="B46" s="15" t="s">
        <v>66</v>
      </c>
      <c r="C46" s="15" t="s">
        <v>53</v>
      </c>
      <c r="D46" s="15" t="s">
        <v>75</v>
      </c>
      <c r="E46" s="15">
        <v>26</v>
      </c>
      <c r="F46" s="15" t="s">
        <v>54</v>
      </c>
      <c r="G46" s="15">
        <v>6540</v>
      </c>
    </row>
    <row r="47" spans="1:7" x14ac:dyDescent="0.2">
      <c r="A47" s="14">
        <v>46</v>
      </c>
      <c r="B47" s="15" t="s">
        <v>67</v>
      </c>
      <c r="C47" s="15" t="s">
        <v>50</v>
      </c>
      <c r="D47" s="15" t="s">
        <v>76</v>
      </c>
      <c r="E47" s="15">
        <v>34</v>
      </c>
      <c r="F47" s="16" t="s">
        <v>51</v>
      </c>
      <c r="G47" s="15">
        <v>2654</v>
      </c>
    </row>
    <row r="48" spans="1:7" x14ac:dyDescent="0.2">
      <c r="A48" s="14">
        <v>47</v>
      </c>
      <c r="B48" s="15" t="s">
        <v>68</v>
      </c>
      <c r="C48" s="15" t="s">
        <v>50</v>
      </c>
      <c r="D48" s="15" t="s">
        <v>77</v>
      </c>
      <c r="E48" s="15">
        <v>28</v>
      </c>
      <c r="F48" s="15" t="s">
        <v>52</v>
      </c>
      <c r="G48" s="15">
        <v>6525</v>
      </c>
    </row>
    <row r="49" spans="1:7" x14ac:dyDescent="0.2">
      <c r="A49" s="14">
        <v>48</v>
      </c>
      <c r="B49" s="15" t="s">
        <v>69</v>
      </c>
      <c r="C49" s="15" t="s">
        <v>50</v>
      </c>
      <c r="D49" s="17" t="s">
        <v>78</v>
      </c>
      <c r="E49" s="15">
        <v>32</v>
      </c>
      <c r="F49" s="15" t="s">
        <v>54</v>
      </c>
      <c r="G49" s="15">
        <v>3265</v>
      </c>
    </row>
    <row r="50" spans="1:7" x14ac:dyDescent="0.2">
      <c r="A50" s="14">
        <v>49</v>
      </c>
      <c r="B50" s="15" t="s">
        <v>70</v>
      </c>
      <c r="C50" s="15" t="s">
        <v>53</v>
      </c>
      <c r="D50" s="15" t="s">
        <v>75</v>
      </c>
      <c r="E50" s="15">
        <v>39</v>
      </c>
      <c r="F50" s="16" t="s">
        <v>51</v>
      </c>
      <c r="G50" s="15">
        <v>3265</v>
      </c>
    </row>
    <row r="51" spans="1:7" x14ac:dyDescent="0.2">
      <c r="A51" s="14">
        <v>50</v>
      </c>
      <c r="B51" s="15" t="s">
        <v>71</v>
      </c>
      <c r="C51" s="15" t="s">
        <v>50</v>
      </c>
      <c r="D51" s="15" t="s">
        <v>76</v>
      </c>
      <c r="E51" s="15">
        <v>29</v>
      </c>
      <c r="F51" s="15" t="s">
        <v>52</v>
      </c>
      <c r="G51" s="15">
        <v>6125</v>
      </c>
    </row>
    <row r="52" spans="1:7" x14ac:dyDescent="0.2">
      <c r="A52" s="14">
        <v>51</v>
      </c>
      <c r="B52" s="15" t="s">
        <v>72</v>
      </c>
      <c r="C52" s="15" t="s">
        <v>50</v>
      </c>
      <c r="D52" s="15" t="s">
        <v>77</v>
      </c>
      <c r="E52" s="15">
        <v>32</v>
      </c>
      <c r="F52" s="16" t="s">
        <v>51</v>
      </c>
      <c r="G52" s="15">
        <v>1562</v>
      </c>
    </row>
    <row r="53" spans="1:7" x14ac:dyDescent="0.2">
      <c r="A53" s="14">
        <v>52</v>
      </c>
      <c r="B53" s="15" t="s">
        <v>56</v>
      </c>
      <c r="C53" s="15" t="s">
        <v>50</v>
      </c>
      <c r="D53" s="17" t="s">
        <v>78</v>
      </c>
      <c r="E53" s="15">
        <v>25</v>
      </c>
      <c r="F53" s="15" t="s">
        <v>52</v>
      </c>
      <c r="G53" s="15">
        <v>1582</v>
      </c>
    </row>
    <row r="54" spans="1:7" x14ac:dyDescent="0.2">
      <c r="A54" s="14">
        <v>53</v>
      </c>
      <c r="B54" s="15" t="s">
        <v>57</v>
      </c>
      <c r="C54" s="15" t="s">
        <v>53</v>
      </c>
      <c r="D54" s="15" t="s">
        <v>75</v>
      </c>
      <c r="E54" s="15">
        <v>36</v>
      </c>
      <c r="F54" s="15" t="s">
        <v>54</v>
      </c>
      <c r="G54" s="15">
        <v>2587</v>
      </c>
    </row>
    <row r="55" spans="1:7" x14ac:dyDescent="0.2">
      <c r="A55" s="14">
        <v>54</v>
      </c>
      <c r="B55" s="15" t="s">
        <v>58</v>
      </c>
      <c r="C55" s="15" t="s">
        <v>50</v>
      </c>
      <c r="D55" s="15" t="s">
        <v>76</v>
      </c>
      <c r="E55" s="15">
        <v>25</v>
      </c>
      <c r="F55" s="16" t="s">
        <v>51</v>
      </c>
      <c r="G55" s="15">
        <v>3549</v>
      </c>
    </row>
    <row r="56" spans="1:7" x14ac:dyDescent="0.2">
      <c r="A56" s="14">
        <v>55</v>
      </c>
      <c r="B56" s="15" t="s">
        <v>59</v>
      </c>
      <c r="C56" s="15" t="s">
        <v>50</v>
      </c>
      <c r="D56" s="15" t="s">
        <v>77</v>
      </c>
      <c r="E56" s="15">
        <v>58</v>
      </c>
      <c r="F56" s="15" t="s">
        <v>52</v>
      </c>
      <c r="G56" s="15">
        <v>2468</v>
      </c>
    </row>
    <row r="57" spans="1:7" x14ac:dyDescent="0.2">
      <c r="A57" s="14">
        <v>56</v>
      </c>
      <c r="B57" s="15" t="s">
        <v>60</v>
      </c>
      <c r="C57" s="17" t="s">
        <v>53</v>
      </c>
      <c r="D57" s="17" t="s">
        <v>78</v>
      </c>
      <c r="E57" s="15">
        <v>24</v>
      </c>
      <c r="F57" s="15" t="s">
        <v>54</v>
      </c>
      <c r="G57" s="15">
        <v>2554</v>
      </c>
    </row>
    <row r="58" spans="1:7" x14ac:dyDescent="0.2">
      <c r="A58" s="14">
        <v>57</v>
      </c>
      <c r="B58" s="15" t="s">
        <v>61</v>
      </c>
      <c r="C58" s="15" t="s">
        <v>50</v>
      </c>
      <c r="D58" s="15" t="s">
        <v>75</v>
      </c>
      <c r="E58" s="15">
        <v>56</v>
      </c>
      <c r="F58" s="16" t="s">
        <v>51</v>
      </c>
      <c r="G58" s="15">
        <v>3598</v>
      </c>
    </row>
    <row r="59" spans="1:7" x14ac:dyDescent="0.2">
      <c r="A59" s="14">
        <v>58</v>
      </c>
      <c r="B59" s="15" t="s">
        <v>62</v>
      </c>
      <c r="C59" s="15" t="s">
        <v>50</v>
      </c>
      <c r="D59" s="15" t="s">
        <v>76</v>
      </c>
      <c r="E59" s="15">
        <v>27</v>
      </c>
      <c r="F59" s="15" t="s">
        <v>52</v>
      </c>
      <c r="G59" s="15">
        <v>2456</v>
      </c>
    </row>
    <row r="60" spans="1:7" x14ac:dyDescent="0.2">
      <c r="A60" s="14">
        <v>59</v>
      </c>
      <c r="B60" s="15" t="s">
        <v>63</v>
      </c>
      <c r="C60" s="15" t="s">
        <v>50</v>
      </c>
      <c r="D60" s="15" t="s">
        <v>77</v>
      </c>
      <c r="E60" s="15">
        <v>40</v>
      </c>
      <c r="F60" s="15" t="s">
        <v>54</v>
      </c>
      <c r="G60" s="15">
        <v>6548</v>
      </c>
    </row>
    <row r="61" spans="1:7" x14ac:dyDescent="0.2">
      <c r="A61" s="14">
        <v>60</v>
      </c>
      <c r="B61" s="15" t="s">
        <v>64</v>
      </c>
      <c r="C61" s="15" t="s">
        <v>50</v>
      </c>
      <c r="D61" s="17" t="s">
        <v>78</v>
      </c>
      <c r="E61" s="15">
        <v>28</v>
      </c>
      <c r="F61" s="15" t="s">
        <v>52</v>
      </c>
      <c r="G61" s="15">
        <v>5486</v>
      </c>
    </row>
    <row r="62" spans="1:7" x14ac:dyDescent="0.2">
      <c r="A62" s="14">
        <v>61</v>
      </c>
      <c r="B62" s="15" t="s">
        <v>65</v>
      </c>
      <c r="C62" s="15" t="s">
        <v>50</v>
      </c>
      <c r="D62" s="15" t="s">
        <v>75</v>
      </c>
      <c r="E62" s="15">
        <v>39</v>
      </c>
      <c r="F62" s="15" t="s">
        <v>54</v>
      </c>
      <c r="G62" s="15">
        <v>1258</v>
      </c>
    </row>
    <row r="63" spans="1:7" x14ac:dyDescent="0.2">
      <c r="A63" s="14">
        <v>62</v>
      </c>
      <c r="B63" s="15" t="s">
        <v>66</v>
      </c>
      <c r="C63" s="15" t="s">
        <v>53</v>
      </c>
      <c r="D63" s="15" t="s">
        <v>76</v>
      </c>
      <c r="E63" s="15">
        <v>38</v>
      </c>
      <c r="F63" s="16" t="s">
        <v>51</v>
      </c>
      <c r="G63" s="15">
        <v>2579</v>
      </c>
    </row>
    <row r="64" spans="1:7" x14ac:dyDescent="0.2">
      <c r="A64" s="14">
        <v>63</v>
      </c>
      <c r="B64" s="15" t="s">
        <v>67</v>
      </c>
      <c r="C64" s="15" t="s">
        <v>50</v>
      </c>
      <c r="D64" s="15" t="s">
        <v>77</v>
      </c>
      <c r="E64" s="15">
        <v>32</v>
      </c>
      <c r="F64" s="15" t="s">
        <v>52</v>
      </c>
      <c r="G64" s="15">
        <v>3256</v>
      </c>
    </row>
    <row r="65" spans="1:7" x14ac:dyDescent="0.2">
      <c r="A65" s="14">
        <v>64</v>
      </c>
      <c r="B65" s="15" t="s">
        <v>68</v>
      </c>
      <c r="C65" s="15" t="s">
        <v>53</v>
      </c>
      <c r="D65" s="17" t="s">
        <v>78</v>
      </c>
      <c r="E65" s="15">
        <v>26</v>
      </c>
      <c r="F65" s="15" t="s">
        <v>54</v>
      </c>
      <c r="G65" s="15">
        <v>2587</v>
      </c>
    </row>
    <row r="66" spans="1:7" x14ac:dyDescent="0.2">
      <c r="A66" s="14">
        <v>65</v>
      </c>
      <c r="B66" s="15" t="s">
        <v>69</v>
      </c>
      <c r="C66" s="15" t="s">
        <v>50</v>
      </c>
      <c r="D66" s="15" t="s">
        <v>75</v>
      </c>
      <c r="E66" s="15">
        <v>31</v>
      </c>
      <c r="F66" s="15" t="s">
        <v>52</v>
      </c>
      <c r="G66" s="15">
        <v>3259</v>
      </c>
    </row>
    <row r="67" spans="1:7" x14ac:dyDescent="0.2">
      <c r="A67" s="14">
        <v>66</v>
      </c>
      <c r="B67" s="15" t="s">
        <v>70</v>
      </c>
      <c r="C67" s="15" t="s">
        <v>50</v>
      </c>
      <c r="D67" s="15" t="s">
        <v>76</v>
      </c>
      <c r="E67" s="15">
        <v>24</v>
      </c>
      <c r="F67" s="15" t="s">
        <v>54</v>
      </c>
      <c r="G67" s="15">
        <v>1546</v>
      </c>
    </row>
    <row r="68" spans="1:7" x14ac:dyDescent="0.2">
      <c r="A68" s="14">
        <v>67</v>
      </c>
      <c r="B68" s="15" t="s">
        <v>71</v>
      </c>
      <c r="C68" s="15" t="s">
        <v>50</v>
      </c>
      <c r="D68" s="15" t="s">
        <v>77</v>
      </c>
      <c r="E68" s="15">
        <v>39</v>
      </c>
      <c r="F68" s="16" t="s">
        <v>51</v>
      </c>
      <c r="G68" s="15">
        <v>3579</v>
      </c>
    </row>
    <row r="69" spans="1:7" x14ac:dyDescent="0.2">
      <c r="A69" s="14">
        <v>68</v>
      </c>
      <c r="B69" s="15" t="s">
        <v>72</v>
      </c>
      <c r="C69" s="15" t="s">
        <v>50</v>
      </c>
      <c r="D69" s="17" t="s">
        <v>78</v>
      </c>
      <c r="E69" s="15">
        <v>28</v>
      </c>
      <c r="F69" s="15" t="s">
        <v>52</v>
      </c>
      <c r="G69" s="15">
        <v>6597</v>
      </c>
    </row>
    <row r="70" spans="1:7" x14ac:dyDescent="0.2">
      <c r="A70" s="14">
        <v>69</v>
      </c>
      <c r="B70" s="15" t="s">
        <v>56</v>
      </c>
      <c r="C70" s="15" t="s">
        <v>50</v>
      </c>
      <c r="D70" s="15" t="s">
        <v>75</v>
      </c>
      <c r="E70" s="15">
        <v>26</v>
      </c>
      <c r="F70" s="15" t="s">
        <v>54</v>
      </c>
      <c r="G70" s="15">
        <v>9654</v>
      </c>
    </row>
    <row r="71" spans="1:7" x14ac:dyDescent="0.2">
      <c r="A71" s="14">
        <v>70</v>
      </c>
      <c r="B71" s="15" t="s">
        <v>57</v>
      </c>
      <c r="C71" s="15" t="s">
        <v>50</v>
      </c>
      <c r="D71" s="15" t="s">
        <v>76</v>
      </c>
      <c r="E71" s="15">
        <v>46</v>
      </c>
      <c r="F71" s="15" t="s">
        <v>54</v>
      </c>
      <c r="G71" s="15">
        <v>3569</v>
      </c>
    </row>
    <row r="72" spans="1:7" x14ac:dyDescent="0.2">
      <c r="A72" s="14">
        <v>71</v>
      </c>
      <c r="B72" s="15" t="s">
        <v>58</v>
      </c>
      <c r="C72" s="15" t="s">
        <v>50</v>
      </c>
      <c r="D72" s="15" t="s">
        <v>77</v>
      </c>
      <c r="E72" s="15">
        <v>37</v>
      </c>
      <c r="F72" s="16" t="s">
        <v>51</v>
      </c>
      <c r="G72" s="15">
        <v>2564</v>
      </c>
    </row>
    <row r="73" spans="1:7" x14ac:dyDescent="0.2">
      <c r="A73" s="14">
        <v>72</v>
      </c>
      <c r="B73" s="15" t="s">
        <v>59</v>
      </c>
      <c r="C73" s="15" t="s">
        <v>50</v>
      </c>
      <c r="D73" s="17" t="s">
        <v>78</v>
      </c>
      <c r="E73" s="15">
        <v>52</v>
      </c>
      <c r="F73" s="15" t="s">
        <v>52</v>
      </c>
      <c r="G73" s="15">
        <v>8561</v>
      </c>
    </row>
    <row r="74" spans="1:7" x14ac:dyDescent="0.2">
      <c r="A74" s="14">
        <v>73</v>
      </c>
      <c r="B74" s="15" t="s">
        <v>60</v>
      </c>
      <c r="C74" s="15" t="s">
        <v>50</v>
      </c>
      <c r="D74" s="15" t="s">
        <v>75</v>
      </c>
      <c r="E74" s="15">
        <v>46</v>
      </c>
      <c r="F74" s="15" t="s">
        <v>54</v>
      </c>
      <c r="G74" s="15">
        <v>5489</v>
      </c>
    </row>
    <row r="75" spans="1:7" x14ac:dyDescent="0.2">
      <c r="A75" s="14">
        <v>74</v>
      </c>
      <c r="B75" s="15" t="s">
        <v>61</v>
      </c>
      <c r="C75" s="15" t="s">
        <v>50</v>
      </c>
      <c r="D75" s="15" t="s">
        <v>76</v>
      </c>
      <c r="E75" s="15">
        <v>42</v>
      </c>
      <c r="F75" s="15" t="s">
        <v>54</v>
      </c>
      <c r="G75" s="15">
        <v>5489</v>
      </c>
    </row>
    <row r="76" spans="1:7" x14ac:dyDescent="0.2">
      <c r="A76" s="14">
        <v>75</v>
      </c>
      <c r="B76" s="15" t="s">
        <v>62</v>
      </c>
      <c r="C76" s="15" t="s">
        <v>53</v>
      </c>
      <c r="D76" s="15" t="s">
        <v>77</v>
      </c>
      <c r="E76" s="15">
        <v>21</v>
      </c>
      <c r="F76" s="16" t="s">
        <v>51</v>
      </c>
      <c r="G76" s="15">
        <v>6574</v>
      </c>
    </row>
    <row r="77" spans="1:7" x14ac:dyDescent="0.2">
      <c r="A77" s="14">
        <v>76</v>
      </c>
      <c r="B77" s="15" t="s">
        <v>63</v>
      </c>
      <c r="C77" s="15" t="s">
        <v>50</v>
      </c>
      <c r="D77" s="17" t="s">
        <v>78</v>
      </c>
      <c r="E77" s="15">
        <v>28</v>
      </c>
      <c r="F77" s="15" t="s">
        <v>52</v>
      </c>
      <c r="G77" s="15">
        <v>5555</v>
      </c>
    </row>
    <row r="78" spans="1:7" x14ac:dyDescent="0.2">
      <c r="A78" s="14">
        <v>77</v>
      </c>
      <c r="B78" s="15" t="s">
        <v>64</v>
      </c>
      <c r="C78" s="15" t="s">
        <v>50</v>
      </c>
      <c r="D78" s="15" t="s">
        <v>75</v>
      </c>
      <c r="E78" s="15">
        <v>29</v>
      </c>
      <c r="F78" s="15" t="s">
        <v>54</v>
      </c>
      <c r="G78" s="15">
        <v>6125</v>
      </c>
    </row>
    <row r="79" spans="1:7" x14ac:dyDescent="0.2">
      <c r="A79" s="14">
        <v>78</v>
      </c>
      <c r="B79" s="15" t="s">
        <v>65</v>
      </c>
      <c r="C79" s="15" t="s">
        <v>50</v>
      </c>
      <c r="D79" s="15" t="s">
        <v>76</v>
      </c>
      <c r="E79" s="15">
        <v>23</v>
      </c>
      <c r="F79" s="16" t="s">
        <v>51</v>
      </c>
      <c r="G79" s="15">
        <v>5412</v>
      </c>
    </row>
    <row r="80" spans="1:7" x14ac:dyDescent="0.2">
      <c r="A80" s="14">
        <v>79</v>
      </c>
      <c r="B80" s="15" t="s">
        <v>66</v>
      </c>
      <c r="C80" s="15" t="s">
        <v>53</v>
      </c>
      <c r="D80" s="15" t="s">
        <v>77</v>
      </c>
      <c r="E80" s="15">
        <v>41</v>
      </c>
      <c r="F80" s="15" t="s">
        <v>52</v>
      </c>
      <c r="G80" s="15">
        <v>3256</v>
      </c>
    </row>
    <row r="81" spans="1:7" x14ac:dyDescent="0.2">
      <c r="A81" s="14">
        <v>80</v>
      </c>
      <c r="B81" s="15" t="s">
        <v>67</v>
      </c>
      <c r="C81" s="15" t="s">
        <v>50</v>
      </c>
      <c r="D81" s="17" t="s">
        <v>78</v>
      </c>
      <c r="E81" s="15">
        <v>28</v>
      </c>
      <c r="F81" s="15" t="s">
        <v>54</v>
      </c>
      <c r="G81" s="15">
        <v>3264</v>
      </c>
    </row>
    <row r="82" spans="1:7" x14ac:dyDescent="0.2">
      <c r="A82" s="14">
        <v>81</v>
      </c>
      <c r="B82" s="15" t="s">
        <v>68</v>
      </c>
      <c r="C82" s="15" t="s">
        <v>50</v>
      </c>
      <c r="D82" s="15" t="s">
        <v>75</v>
      </c>
      <c r="E82" s="15">
        <v>37</v>
      </c>
      <c r="F82" s="16" t="s">
        <v>51</v>
      </c>
      <c r="G82" s="15">
        <v>4569</v>
      </c>
    </row>
    <row r="83" spans="1:7" x14ac:dyDescent="0.2">
      <c r="A83" s="14">
        <v>82</v>
      </c>
      <c r="B83" s="15" t="s">
        <v>69</v>
      </c>
      <c r="C83" s="15" t="s">
        <v>50</v>
      </c>
      <c r="D83" s="15" t="s">
        <v>76</v>
      </c>
      <c r="E83" s="15">
        <v>34</v>
      </c>
      <c r="F83" s="15" t="s">
        <v>52</v>
      </c>
      <c r="G83" s="15">
        <v>7521</v>
      </c>
    </row>
    <row r="84" spans="1:7" x14ac:dyDescent="0.2">
      <c r="A84" s="14">
        <v>83</v>
      </c>
      <c r="B84" s="15" t="s">
        <v>70</v>
      </c>
      <c r="C84" s="15" t="s">
        <v>50</v>
      </c>
      <c r="D84" s="15" t="s">
        <v>77</v>
      </c>
      <c r="E84" s="15">
        <v>26</v>
      </c>
      <c r="F84" s="15" t="s">
        <v>54</v>
      </c>
      <c r="G84" s="15">
        <v>6458</v>
      </c>
    </row>
    <row r="85" spans="1:7" x14ac:dyDescent="0.2">
      <c r="A85" s="14">
        <v>84</v>
      </c>
      <c r="B85" s="15" t="s">
        <v>71</v>
      </c>
      <c r="C85" s="15" t="s">
        <v>50</v>
      </c>
      <c r="D85" s="17" t="s">
        <v>78</v>
      </c>
      <c r="E85" s="15">
        <v>35</v>
      </c>
      <c r="F85" s="15" t="s">
        <v>52</v>
      </c>
      <c r="G85" s="15">
        <v>7569</v>
      </c>
    </row>
    <row r="86" spans="1:7" x14ac:dyDescent="0.2">
      <c r="A86" s="14">
        <v>85</v>
      </c>
      <c r="B86" s="15" t="s">
        <v>72</v>
      </c>
      <c r="C86" s="15" t="s">
        <v>53</v>
      </c>
      <c r="D86" s="15" t="s">
        <v>75</v>
      </c>
      <c r="E86" s="15">
        <v>36</v>
      </c>
      <c r="F86" s="15" t="s">
        <v>54</v>
      </c>
      <c r="G86" s="15">
        <v>8514</v>
      </c>
    </row>
    <row r="87" spans="1:7" x14ac:dyDescent="0.2">
      <c r="A87" s="14">
        <v>86</v>
      </c>
      <c r="B87" s="15" t="s">
        <v>56</v>
      </c>
      <c r="C87" s="15" t="s">
        <v>50</v>
      </c>
      <c r="D87" s="15" t="s">
        <v>76</v>
      </c>
      <c r="E87" s="15">
        <v>29</v>
      </c>
      <c r="F87" s="16" t="s">
        <v>51</v>
      </c>
      <c r="G87" s="15">
        <v>8563</v>
      </c>
    </row>
    <row r="88" spans="1:7" x14ac:dyDescent="0.2">
      <c r="A88" s="14">
        <v>87</v>
      </c>
      <c r="B88" s="15" t="s">
        <v>57</v>
      </c>
      <c r="C88" s="15" t="s">
        <v>50</v>
      </c>
      <c r="D88" s="15" t="s">
        <v>77</v>
      </c>
      <c r="E88" s="15">
        <v>27</v>
      </c>
      <c r="F88" s="15" t="s">
        <v>52</v>
      </c>
      <c r="G88" s="15">
        <v>8642</v>
      </c>
    </row>
    <row r="89" spans="1:7" x14ac:dyDescent="0.2">
      <c r="A89" s="14">
        <v>88</v>
      </c>
      <c r="B89" s="15" t="s">
        <v>58</v>
      </c>
      <c r="C89" s="15" t="s">
        <v>50</v>
      </c>
      <c r="D89" s="17" t="s">
        <v>78</v>
      </c>
      <c r="E89" s="15">
        <v>25</v>
      </c>
      <c r="F89" s="15" t="s">
        <v>54</v>
      </c>
      <c r="G89" s="15">
        <v>9536</v>
      </c>
    </row>
    <row r="90" spans="1:7" x14ac:dyDescent="0.2">
      <c r="A90" s="14">
        <v>89</v>
      </c>
      <c r="B90" s="15" t="s">
        <v>59</v>
      </c>
      <c r="C90" s="15" t="s">
        <v>50</v>
      </c>
      <c r="D90" s="15" t="s">
        <v>75</v>
      </c>
      <c r="E90" s="15">
        <v>36</v>
      </c>
      <c r="F90" s="15" t="s">
        <v>54</v>
      </c>
      <c r="G90" s="15">
        <v>2567</v>
      </c>
    </row>
    <row r="91" spans="1:7" x14ac:dyDescent="0.2">
      <c r="A91" s="14">
        <v>90</v>
      </c>
      <c r="B91" s="15" t="s">
        <v>60</v>
      </c>
      <c r="C91" s="15" t="s">
        <v>53</v>
      </c>
      <c r="D91" s="15" t="s">
        <v>76</v>
      </c>
      <c r="E91" s="15">
        <v>37</v>
      </c>
      <c r="F91" s="16" t="s">
        <v>51</v>
      </c>
      <c r="G91" s="15">
        <v>2154</v>
      </c>
    </row>
    <row r="92" spans="1:7" x14ac:dyDescent="0.2">
      <c r="A92" s="14">
        <v>91</v>
      </c>
      <c r="B92" s="15" t="s">
        <v>61</v>
      </c>
      <c r="C92" s="15" t="s">
        <v>53</v>
      </c>
      <c r="D92" s="15" t="s">
        <v>77</v>
      </c>
      <c r="E92" s="15">
        <v>26</v>
      </c>
      <c r="F92" s="15" t="s">
        <v>52</v>
      </c>
      <c r="G92" s="15">
        <v>3265</v>
      </c>
    </row>
    <row r="93" spans="1:7" x14ac:dyDescent="0.2">
      <c r="A93" s="14">
        <v>92</v>
      </c>
      <c r="B93" s="15" t="s">
        <v>62</v>
      </c>
      <c r="C93" s="15" t="s">
        <v>50</v>
      </c>
      <c r="D93" s="17" t="s">
        <v>78</v>
      </c>
      <c r="E93" s="15">
        <v>37</v>
      </c>
      <c r="F93" s="15" t="s">
        <v>54</v>
      </c>
      <c r="G93" s="15">
        <v>8765</v>
      </c>
    </row>
    <row r="94" spans="1:7" x14ac:dyDescent="0.2">
      <c r="A94" s="14">
        <v>93</v>
      </c>
      <c r="B94" s="15" t="s">
        <v>63</v>
      </c>
      <c r="C94" s="15" t="s">
        <v>53</v>
      </c>
      <c r="D94" s="15" t="s">
        <v>75</v>
      </c>
      <c r="E94" s="15">
        <v>24</v>
      </c>
      <c r="F94" s="16" t="s">
        <v>51</v>
      </c>
      <c r="G94" s="15">
        <v>3259</v>
      </c>
    </row>
    <row r="95" spans="1:7" x14ac:dyDescent="0.2">
      <c r="A95" s="14">
        <v>94</v>
      </c>
      <c r="B95" s="15" t="s">
        <v>64</v>
      </c>
      <c r="C95" s="15" t="s">
        <v>50</v>
      </c>
      <c r="D95" s="15" t="s">
        <v>76</v>
      </c>
      <c r="E95" s="15">
        <v>39</v>
      </c>
      <c r="F95" s="15" t="s">
        <v>52</v>
      </c>
      <c r="G95" s="15">
        <v>3567</v>
      </c>
    </row>
    <row r="96" spans="1:7" x14ac:dyDescent="0.2">
      <c r="A96" s="14">
        <v>95</v>
      </c>
      <c r="B96" s="15" t="s">
        <v>65</v>
      </c>
      <c r="C96" s="15" t="s">
        <v>53</v>
      </c>
      <c r="D96" s="15" t="s">
        <v>77</v>
      </c>
      <c r="E96" s="15">
        <v>26</v>
      </c>
      <c r="F96" s="15" t="s">
        <v>54</v>
      </c>
      <c r="G96" s="15">
        <v>6540</v>
      </c>
    </row>
    <row r="97" spans="1:7" x14ac:dyDescent="0.2">
      <c r="A97" s="14">
        <v>96</v>
      </c>
      <c r="B97" s="15" t="s">
        <v>66</v>
      </c>
      <c r="C97" s="15" t="s">
        <v>50</v>
      </c>
      <c r="D97" s="17" t="s">
        <v>78</v>
      </c>
      <c r="E97" s="15">
        <v>34</v>
      </c>
      <c r="F97" s="16" t="s">
        <v>51</v>
      </c>
      <c r="G97" s="15">
        <v>2654</v>
      </c>
    </row>
    <row r="98" spans="1:7" x14ac:dyDescent="0.2">
      <c r="A98" s="14">
        <v>97</v>
      </c>
      <c r="B98" s="15" t="s">
        <v>67</v>
      </c>
      <c r="C98" s="15" t="s">
        <v>50</v>
      </c>
      <c r="D98" s="15" t="s">
        <v>75</v>
      </c>
      <c r="E98" s="15">
        <v>28</v>
      </c>
      <c r="F98" s="15" t="s">
        <v>52</v>
      </c>
      <c r="G98" s="15">
        <v>6525</v>
      </c>
    </row>
    <row r="99" spans="1:7" x14ac:dyDescent="0.2">
      <c r="A99" s="14">
        <v>98</v>
      </c>
      <c r="B99" s="15" t="s">
        <v>68</v>
      </c>
      <c r="C99" s="15" t="s">
        <v>50</v>
      </c>
      <c r="D99" s="15" t="s">
        <v>76</v>
      </c>
      <c r="E99" s="15">
        <v>32</v>
      </c>
      <c r="F99" s="15" t="s">
        <v>54</v>
      </c>
      <c r="G99" s="15">
        <v>3265</v>
      </c>
    </row>
    <row r="100" spans="1:7" x14ac:dyDescent="0.2">
      <c r="A100" s="14">
        <v>99</v>
      </c>
      <c r="B100" s="15" t="s">
        <v>69</v>
      </c>
      <c r="C100" s="15" t="s">
        <v>53</v>
      </c>
      <c r="D100" s="15" t="s">
        <v>77</v>
      </c>
      <c r="E100" s="15">
        <v>39</v>
      </c>
      <c r="F100" s="16" t="s">
        <v>51</v>
      </c>
      <c r="G100" s="15">
        <v>3265</v>
      </c>
    </row>
    <row r="101" spans="1:7" x14ac:dyDescent="0.2">
      <c r="A101" s="14">
        <v>100</v>
      </c>
      <c r="B101" s="15" t="s">
        <v>70</v>
      </c>
      <c r="C101" s="15" t="s">
        <v>50</v>
      </c>
      <c r="D101" s="17" t="s">
        <v>78</v>
      </c>
      <c r="E101" s="15">
        <v>29</v>
      </c>
      <c r="F101" s="15" t="s">
        <v>52</v>
      </c>
      <c r="G101" s="15">
        <v>6125</v>
      </c>
    </row>
    <row r="102" spans="1:7" x14ac:dyDescent="0.2">
      <c r="A102" s="11"/>
    </row>
    <row r="103" spans="1:7" x14ac:dyDescent="0.2">
      <c r="A103" s="11"/>
    </row>
    <row r="104" spans="1:7" x14ac:dyDescent="0.2">
      <c r="A104" s="11"/>
    </row>
    <row r="105" spans="1:7" x14ac:dyDescent="0.2">
      <c r="A105" s="11"/>
    </row>
    <row r="106" spans="1:7" x14ac:dyDescent="0.2">
      <c r="A106" s="11"/>
    </row>
    <row r="107" spans="1:7" x14ac:dyDescent="0.2">
      <c r="A107" s="11"/>
    </row>
  </sheetData>
  <pageMargins left="0.7" right="0.22" top="0.56999999999999995" bottom="0.75" header="0.3" footer="0.3"/>
  <pageSetup paperSize="9" fitToWidth="0" fitToHeight="0"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07"/>
  <sheetViews>
    <sheetView zoomScale="145" zoomScaleNormal="145" workbookViewId="0">
      <selection activeCell="F9" sqref="F9"/>
    </sheetView>
  </sheetViews>
  <sheetFormatPr defaultRowHeight="14.25" x14ac:dyDescent="0.2"/>
  <cols>
    <col min="1" max="1" width="5.75" style="12" bestFit="1" customWidth="1"/>
    <col min="2" max="2" width="19.125" customWidth="1"/>
    <col min="3" max="3" width="11.875" customWidth="1"/>
    <col min="4" max="4" width="11.625" customWidth="1"/>
    <col min="5" max="5" width="7.5" customWidth="1"/>
    <col min="6" max="6" width="12.125" customWidth="1"/>
    <col min="7" max="7" width="9.5" customWidth="1"/>
  </cols>
  <sheetData>
    <row r="1" spans="1:14" x14ac:dyDescent="0.2">
      <c r="A1" s="13" t="s">
        <v>55</v>
      </c>
      <c r="B1" s="13" t="s">
        <v>73</v>
      </c>
      <c r="C1" s="13" t="s">
        <v>46</v>
      </c>
      <c r="D1" s="13" t="s">
        <v>74</v>
      </c>
      <c r="E1" s="13" t="s">
        <v>47</v>
      </c>
      <c r="F1" s="13" t="s">
        <v>48</v>
      </c>
      <c r="G1" s="13" t="s">
        <v>49</v>
      </c>
      <c r="H1" s="13" t="s">
        <v>49</v>
      </c>
      <c r="I1" s="13" t="s">
        <v>49</v>
      </c>
      <c r="J1" s="13" t="s">
        <v>49</v>
      </c>
      <c r="K1" s="13" t="s">
        <v>49</v>
      </c>
      <c r="L1" s="13" t="s">
        <v>49</v>
      </c>
      <c r="M1" s="13" t="s">
        <v>49</v>
      </c>
      <c r="N1" s="13" t="s">
        <v>49</v>
      </c>
    </row>
    <row r="2" spans="1:14" x14ac:dyDescent="0.2">
      <c r="A2" s="14">
        <v>1</v>
      </c>
      <c r="B2" s="15" t="s">
        <v>56</v>
      </c>
      <c r="C2" s="15" t="s">
        <v>50</v>
      </c>
      <c r="D2" s="15" t="s">
        <v>75</v>
      </c>
      <c r="E2" s="15">
        <v>32</v>
      </c>
      <c r="F2" s="16" t="s">
        <v>51</v>
      </c>
      <c r="G2" s="15">
        <v>1562</v>
      </c>
      <c r="H2" s="15">
        <v>1562</v>
      </c>
      <c r="I2" s="15">
        <v>1562</v>
      </c>
      <c r="J2" s="15">
        <v>1562</v>
      </c>
      <c r="K2" s="15">
        <v>1562</v>
      </c>
      <c r="L2" s="15">
        <v>1562</v>
      </c>
      <c r="M2" s="15">
        <v>1562</v>
      </c>
      <c r="N2" s="15">
        <v>1562</v>
      </c>
    </row>
    <row r="3" spans="1:14" x14ac:dyDescent="0.2">
      <c r="A3" s="14">
        <v>2</v>
      </c>
      <c r="B3" s="15" t="s">
        <v>57</v>
      </c>
      <c r="C3" s="15" t="s">
        <v>50</v>
      </c>
      <c r="D3" s="15" t="s">
        <v>76</v>
      </c>
      <c r="E3" s="15">
        <v>25</v>
      </c>
      <c r="F3" s="15" t="s">
        <v>52</v>
      </c>
      <c r="G3" s="15">
        <v>1582</v>
      </c>
      <c r="H3" s="15">
        <v>1582</v>
      </c>
      <c r="I3" s="15">
        <v>1582</v>
      </c>
      <c r="J3" s="15">
        <v>1582</v>
      </c>
      <c r="K3" s="15">
        <v>1582</v>
      </c>
      <c r="L3" s="15">
        <v>1582</v>
      </c>
      <c r="M3" s="15">
        <v>1582</v>
      </c>
      <c r="N3" s="15">
        <v>1582</v>
      </c>
    </row>
    <row r="4" spans="1:14" x14ac:dyDescent="0.2">
      <c r="A4" s="14">
        <v>3</v>
      </c>
      <c r="B4" s="15" t="s">
        <v>58</v>
      </c>
      <c r="C4" s="15" t="s">
        <v>53</v>
      </c>
      <c r="D4" s="15" t="s">
        <v>77</v>
      </c>
      <c r="E4" s="15">
        <v>36</v>
      </c>
      <c r="F4" s="15" t="s">
        <v>54</v>
      </c>
      <c r="G4" s="15">
        <v>2587</v>
      </c>
    </row>
    <row r="5" spans="1:14" x14ac:dyDescent="0.2">
      <c r="A5" s="14">
        <v>4</v>
      </c>
      <c r="B5" s="15" t="s">
        <v>59</v>
      </c>
      <c r="C5" s="15" t="s">
        <v>50</v>
      </c>
      <c r="D5" s="17" t="s">
        <v>78</v>
      </c>
      <c r="E5" s="15">
        <v>25</v>
      </c>
      <c r="F5" s="16" t="s">
        <v>51</v>
      </c>
      <c r="G5" s="15">
        <v>3549</v>
      </c>
    </row>
    <row r="6" spans="1:14" x14ac:dyDescent="0.2">
      <c r="A6" s="14">
        <v>5</v>
      </c>
      <c r="B6" s="15" t="s">
        <v>60</v>
      </c>
      <c r="C6" s="15" t="s">
        <v>50</v>
      </c>
      <c r="D6" s="15" t="s">
        <v>75</v>
      </c>
      <c r="E6" s="15">
        <v>58</v>
      </c>
      <c r="F6" s="15" t="s">
        <v>52</v>
      </c>
      <c r="G6" s="15">
        <v>2468</v>
      </c>
    </row>
    <row r="7" spans="1:14" x14ac:dyDescent="0.2">
      <c r="A7" s="14">
        <v>6</v>
      </c>
      <c r="B7" s="15" t="s">
        <v>61</v>
      </c>
      <c r="C7" s="17" t="s">
        <v>53</v>
      </c>
      <c r="D7" s="15" t="s">
        <v>76</v>
      </c>
      <c r="E7" s="15">
        <v>24</v>
      </c>
      <c r="F7" s="15" t="s">
        <v>54</v>
      </c>
      <c r="G7" s="15">
        <v>2554</v>
      </c>
    </row>
    <row r="8" spans="1:14" x14ac:dyDescent="0.2">
      <c r="A8" s="14">
        <v>7</v>
      </c>
      <c r="B8" s="15" t="s">
        <v>62</v>
      </c>
      <c r="C8" s="15" t="s">
        <v>50</v>
      </c>
      <c r="D8" s="15" t="s">
        <v>77</v>
      </c>
      <c r="E8" s="15">
        <v>56</v>
      </c>
      <c r="F8" s="16" t="s">
        <v>51</v>
      </c>
      <c r="G8" s="15">
        <v>3598</v>
      </c>
    </row>
    <row r="9" spans="1:14" x14ac:dyDescent="0.2">
      <c r="A9" s="14">
        <v>8</v>
      </c>
      <c r="B9" s="15" t="s">
        <v>63</v>
      </c>
      <c r="C9" s="15" t="s">
        <v>50</v>
      </c>
      <c r="D9" s="17" t="s">
        <v>78</v>
      </c>
      <c r="E9" s="15">
        <v>27</v>
      </c>
      <c r="F9" s="15" t="s">
        <v>52</v>
      </c>
      <c r="G9" s="15">
        <v>2456</v>
      </c>
    </row>
    <row r="10" spans="1:14" x14ac:dyDescent="0.2">
      <c r="A10" s="14">
        <v>9</v>
      </c>
      <c r="B10" s="15" t="s">
        <v>64</v>
      </c>
      <c r="C10" s="15" t="s">
        <v>50</v>
      </c>
      <c r="D10" s="15" t="s">
        <v>75</v>
      </c>
      <c r="E10" s="15">
        <v>40</v>
      </c>
      <c r="F10" s="15" t="s">
        <v>54</v>
      </c>
      <c r="G10" s="15">
        <v>6548</v>
      </c>
    </row>
    <row r="11" spans="1:14" x14ac:dyDescent="0.2">
      <c r="A11" s="14">
        <v>10</v>
      </c>
      <c r="B11" s="15" t="s">
        <v>65</v>
      </c>
      <c r="C11" s="15" t="s">
        <v>50</v>
      </c>
      <c r="D11" s="15" t="s">
        <v>76</v>
      </c>
      <c r="E11" s="15">
        <v>28</v>
      </c>
      <c r="F11" s="15" t="s">
        <v>52</v>
      </c>
      <c r="G11" s="15">
        <v>5486</v>
      </c>
    </row>
    <row r="12" spans="1:14" x14ac:dyDescent="0.2">
      <c r="A12" s="14">
        <v>11</v>
      </c>
      <c r="B12" s="15" t="s">
        <v>66</v>
      </c>
      <c r="C12" s="15" t="s">
        <v>50</v>
      </c>
      <c r="D12" s="15" t="s">
        <v>77</v>
      </c>
      <c r="E12" s="15">
        <v>39</v>
      </c>
      <c r="F12" s="15" t="s">
        <v>54</v>
      </c>
      <c r="G12" s="15">
        <v>1258</v>
      </c>
    </row>
    <row r="13" spans="1:14" x14ac:dyDescent="0.2">
      <c r="A13" s="14">
        <v>12</v>
      </c>
      <c r="B13" s="15" t="s">
        <v>67</v>
      </c>
      <c r="C13" s="15" t="s">
        <v>53</v>
      </c>
      <c r="D13" s="17" t="s">
        <v>78</v>
      </c>
      <c r="E13" s="15">
        <v>38</v>
      </c>
      <c r="F13" s="16" t="s">
        <v>51</v>
      </c>
      <c r="G13" s="15">
        <v>2579</v>
      </c>
    </row>
    <row r="14" spans="1:14" x14ac:dyDescent="0.2">
      <c r="A14" s="14">
        <v>13</v>
      </c>
      <c r="B14" s="15" t="s">
        <v>68</v>
      </c>
      <c r="C14" s="15" t="s">
        <v>50</v>
      </c>
      <c r="D14" s="15" t="s">
        <v>75</v>
      </c>
      <c r="E14" s="15">
        <v>32</v>
      </c>
      <c r="F14" s="15" t="s">
        <v>52</v>
      </c>
      <c r="G14" s="15">
        <v>3256</v>
      </c>
    </row>
    <row r="15" spans="1:14" x14ac:dyDescent="0.2">
      <c r="A15" s="14">
        <v>14</v>
      </c>
      <c r="B15" s="15" t="s">
        <v>69</v>
      </c>
      <c r="C15" s="15" t="s">
        <v>53</v>
      </c>
      <c r="D15" s="15" t="s">
        <v>76</v>
      </c>
      <c r="E15" s="15">
        <v>26</v>
      </c>
      <c r="F15" s="15" t="s">
        <v>54</v>
      </c>
      <c r="G15" s="15">
        <v>2587</v>
      </c>
    </row>
    <row r="16" spans="1:14" x14ac:dyDescent="0.2">
      <c r="A16" s="14">
        <v>15</v>
      </c>
      <c r="B16" s="15" t="s">
        <v>70</v>
      </c>
      <c r="C16" s="15" t="s">
        <v>50</v>
      </c>
      <c r="D16" s="15" t="s">
        <v>77</v>
      </c>
      <c r="E16" s="15">
        <v>31</v>
      </c>
      <c r="F16" s="15" t="s">
        <v>52</v>
      </c>
      <c r="G16" s="15">
        <v>3259</v>
      </c>
    </row>
    <row r="17" spans="1:7" x14ac:dyDescent="0.2">
      <c r="A17" s="14">
        <v>16</v>
      </c>
      <c r="B17" s="15" t="s">
        <v>71</v>
      </c>
      <c r="C17" s="15" t="s">
        <v>50</v>
      </c>
      <c r="D17" s="17" t="s">
        <v>78</v>
      </c>
      <c r="E17" s="15">
        <v>24</v>
      </c>
      <c r="F17" s="15" t="s">
        <v>54</v>
      </c>
      <c r="G17" s="15">
        <v>1546</v>
      </c>
    </row>
    <row r="18" spans="1:7" x14ac:dyDescent="0.2">
      <c r="A18" s="14">
        <v>17</v>
      </c>
      <c r="B18" s="15" t="s">
        <v>72</v>
      </c>
      <c r="C18" s="15" t="s">
        <v>50</v>
      </c>
      <c r="D18" s="15" t="s">
        <v>75</v>
      </c>
      <c r="E18" s="15">
        <v>39</v>
      </c>
      <c r="F18" s="16" t="s">
        <v>51</v>
      </c>
      <c r="G18" s="15">
        <v>3579</v>
      </c>
    </row>
    <row r="19" spans="1:7" x14ac:dyDescent="0.2">
      <c r="A19" s="14">
        <v>18</v>
      </c>
      <c r="B19" s="15" t="s">
        <v>56</v>
      </c>
      <c r="C19" s="15" t="s">
        <v>50</v>
      </c>
      <c r="D19" s="15" t="s">
        <v>76</v>
      </c>
      <c r="E19" s="15">
        <v>28</v>
      </c>
      <c r="F19" s="15" t="s">
        <v>52</v>
      </c>
      <c r="G19" s="15">
        <v>6597</v>
      </c>
    </row>
    <row r="20" spans="1:7" x14ac:dyDescent="0.2">
      <c r="A20" s="14">
        <v>19</v>
      </c>
      <c r="B20" s="15" t="s">
        <v>57</v>
      </c>
      <c r="C20" s="15" t="s">
        <v>50</v>
      </c>
      <c r="D20" s="15" t="s">
        <v>77</v>
      </c>
      <c r="E20" s="15">
        <v>26</v>
      </c>
      <c r="F20" s="15" t="s">
        <v>54</v>
      </c>
      <c r="G20" s="15">
        <v>9654</v>
      </c>
    </row>
    <row r="21" spans="1:7" x14ac:dyDescent="0.2">
      <c r="A21" s="14">
        <v>20</v>
      </c>
      <c r="B21" s="15" t="s">
        <v>58</v>
      </c>
      <c r="C21" s="15" t="s">
        <v>50</v>
      </c>
      <c r="D21" s="17" t="s">
        <v>78</v>
      </c>
      <c r="E21" s="15">
        <v>46</v>
      </c>
      <c r="F21" s="15" t="s">
        <v>54</v>
      </c>
      <c r="G21" s="15">
        <v>3569</v>
      </c>
    </row>
    <row r="22" spans="1:7" x14ac:dyDescent="0.2">
      <c r="A22" s="14">
        <v>21</v>
      </c>
      <c r="B22" s="15" t="s">
        <v>59</v>
      </c>
      <c r="C22" s="15" t="s">
        <v>50</v>
      </c>
      <c r="D22" s="15" t="s">
        <v>75</v>
      </c>
      <c r="E22" s="15">
        <v>37</v>
      </c>
      <c r="F22" s="16" t="s">
        <v>51</v>
      </c>
      <c r="G22" s="15">
        <v>2564</v>
      </c>
    </row>
    <row r="23" spans="1:7" x14ac:dyDescent="0.2">
      <c r="A23" s="14">
        <v>22</v>
      </c>
      <c r="B23" s="15" t="s">
        <v>60</v>
      </c>
      <c r="C23" s="15" t="s">
        <v>50</v>
      </c>
      <c r="D23" s="15" t="s">
        <v>76</v>
      </c>
      <c r="E23" s="15">
        <v>52</v>
      </c>
      <c r="F23" s="15" t="s">
        <v>52</v>
      </c>
      <c r="G23" s="15">
        <v>8561</v>
      </c>
    </row>
    <row r="24" spans="1:7" x14ac:dyDescent="0.2">
      <c r="A24" s="14">
        <v>23</v>
      </c>
      <c r="B24" s="15" t="s">
        <v>61</v>
      </c>
      <c r="C24" s="15" t="s">
        <v>50</v>
      </c>
      <c r="D24" s="15" t="s">
        <v>77</v>
      </c>
      <c r="E24" s="15">
        <v>46</v>
      </c>
      <c r="F24" s="15" t="s">
        <v>54</v>
      </c>
      <c r="G24" s="15">
        <v>5489</v>
      </c>
    </row>
    <row r="25" spans="1:7" x14ac:dyDescent="0.2">
      <c r="A25" s="14">
        <v>24</v>
      </c>
      <c r="B25" s="15" t="s">
        <v>62</v>
      </c>
      <c r="C25" s="15" t="s">
        <v>50</v>
      </c>
      <c r="D25" s="17" t="s">
        <v>78</v>
      </c>
      <c r="E25" s="15">
        <v>42</v>
      </c>
      <c r="F25" s="15" t="s">
        <v>54</v>
      </c>
      <c r="G25" s="15">
        <v>5489</v>
      </c>
    </row>
    <row r="26" spans="1:7" x14ac:dyDescent="0.2">
      <c r="A26" s="14">
        <v>25</v>
      </c>
      <c r="B26" s="15" t="s">
        <v>63</v>
      </c>
      <c r="C26" s="15" t="s">
        <v>53</v>
      </c>
      <c r="D26" s="15" t="s">
        <v>75</v>
      </c>
      <c r="E26" s="15">
        <v>21</v>
      </c>
      <c r="F26" s="16" t="s">
        <v>51</v>
      </c>
      <c r="G26" s="15">
        <v>6574</v>
      </c>
    </row>
    <row r="27" spans="1:7" x14ac:dyDescent="0.2">
      <c r="A27" s="14">
        <v>26</v>
      </c>
      <c r="B27" s="15" t="s">
        <v>64</v>
      </c>
      <c r="C27" s="15" t="s">
        <v>50</v>
      </c>
      <c r="D27" s="15" t="s">
        <v>76</v>
      </c>
      <c r="E27" s="15">
        <v>28</v>
      </c>
      <c r="F27" s="15" t="s">
        <v>52</v>
      </c>
      <c r="G27" s="15">
        <v>5555</v>
      </c>
    </row>
    <row r="28" spans="1:7" x14ac:dyDescent="0.2">
      <c r="A28" s="14">
        <v>27</v>
      </c>
      <c r="B28" s="15" t="s">
        <v>65</v>
      </c>
      <c r="C28" s="15" t="s">
        <v>50</v>
      </c>
      <c r="D28" s="15" t="s">
        <v>77</v>
      </c>
      <c r="E28" s="15">
        <v>29</v>
      </c>
      <c r="F28" s="15" t="s">
        <v>54</v>
      </c>
      <c r="G28" s="15">
        <v>6125</v>
      </c>
    </row>
    <row r="29" spans="1:7" x14ac:dyDescent="0.2">
      <c r="A29" s="14">
        <v>28</v>
      </c>
      <c r="B29" s="15" t="s">
        <v>66</v>
      </c>
      <c r="C29" s="15" t="s">
        <v>50</v>
      </c>
      <c r="D29" s="17" t="s">
        <v>78</v>
      </c>
      <c r="E29" s="15">
        <v>23</v>
      </c>
      <c r="F29" s="16" t="s">
        <v>51</v>
      </c>
      <c r="G29" s="15">
        <v>5412</v>
      </c>
    </row>
    <row r="30" spans="1:7" x14ac:dyDescent="0.2">
      <c r="A30" s="14">
        <v>29</v>
      </c>
      <c r="B30" s="15" t="s">
        <v>67</v>
      </c>
      <c r="C30" s="15" t="s">
        <v>53</v>
      </c>
      <c r="D30" s="15" t="s">
        <v>75</v>
      </c>
      <c r="E30" s="15">
        <v>41</v>
      </c>
      <c r="F30" s="15" t="s">
        <v>52</v>
      </c>
      <c r="G30" s="15">
        <v>3256</v>
      </c>
    </row>
    <row r="31" spans="1:7" x14ac:dyDescent="0.2">
      <c r="A31" s="14">
        <v>30</v>
      </c>
      <c r="B31" s="15" t="s">
        <v>68</v>
      </c>
      <c r="C31" s="15" t="s">
        <v>50</v>
      </c>
      <c r="D31" s="15" t="s">
        <v>76</v>
      </c>
      <c r="E31" s="15">
        <v>28</v>
      </c>
      <c r="F31" s="15" t="s">
        <v>54</v>
      </c>
      <c r="G31" s="15">
        <v>3264</v>
      </c>
    </row>
    <row r="32" spans="1:7" x14ac:dyDescent="0.2">
      <c r="A32" s="14">
        <v>31</v>
      </c>
      <c r="B32" s="15" t="s">
        <v>69</v>
      </c>
      <c r="C32" s="15" t="s">
        <v>50</v>
      </c>
      <c r="D32" s="15" t="s">
        <v>77</v>
      </c>
      <c r="E32" s="15">
        <v>37</v>
      </c>
      <c r="F32" s="16" t="s">
        <v>51</v>
      </c>
      <c r="G32" s="15">
        <v>4569</v>
      </c>
    </row>
    <row r="33" spans="1:7" x14ac:dyDescent="0.2">
      <c r="A33" s="14">
        <v>32</v>
      </c>
      <c r="B33" s="15" t="s">
        <v>70</v>
      </c>
      <c r="C33" s="15" t="s">
        <v>50</v>
      </c>
      <c r="D33" s="17" t="s">
        <v>78</v>
      </c>
      <c r="E33" s="15">
        <v>34</v>
      </c>
      <c r="F33" s="15" t="s">
        <v>52</v>
      </c>
      <c r="G33" s="15">
        <v>7521</v>
      </c>
    </row>
    <row r="34" spans="1:7" x14ac:dyDescent="0.2">
      <c r="A34" s="14">
        <v>33</v>
      </c>
      <c r="B34" s="15" t="s">
        <v>71</v>
      </c>
      <c r="C34" s="15" t="s">
        <v>50</v>
      </c>
      <c r="D34" s="15" t="s">
        <v>75</v>
      </c>
      <c r="E34" s="15">
        <v>26</v>
      </c>
      <c r="F34" s="15" t="s">
        <v>54</v>
      </c>
      <c r="G34" s="15">
        <v>6458</v>
      </c>
    </row>
    <row r="35" spans="1:7" x14ac:dyDescent="0.2">
      <c r="A35" s="14">
        <v>34</v>
      </c>
      <c r="B35" s="15" t="s">
        <v>72</v>
      </c>
      <c r="C35" s="15" t="s">
        <v>50</v>
      </c>
      <c r="D35" s="15" t="s">
        <v>76</v>
      </c>
      <c r="E35" s="15">
        <v>35</v>
      </c>
      <c r="F35" s="15" t="s">
        <v>52</v>
      </c>
      <c r="G35" s="15">
        <v>7569</v>
      </c>
    </row>
    <row r="36" spans="1:7" x14ac:dyDescent="0.2">
      <c r="A36" s="14">
        <v>35</v>
      </c>
      <c r="B36" s="15" t="s">
        <v>56</v>
      </c>
      <c r="C36" s="15" t="s">
        <v>53</v>
      </c>
      <c r="D36" s="15" t="s">
        <v>77</v>
      </c>
      <c r="E36" s="15">
        <v>36</v>
      </c>
      <c r="F36" s="15" t="s">
        <v>54</v>
      </c>
      <c r="G36" s="15">
        <v>8514</v>
      </c>
    </row>
    <row r="37" spans="1:7" x14ac:dyDescent="0.2">
      <c r="A37" s="14">
        <v>36</v>
      </c>
      <c r="B37" s="15" t="s">
        <v>57</v>
      </c>
      <c r="C37" s="15" t="s">
        <v>50</v>
      </c>
      <c r="D37" s="17" t="s">
        <v>78</v>
      </c>
      <c r="E37" s="15">
        <v>29</v>
      </c>
      <c r="F37" s="16" t="s">
        <v>51</v>
      </c>
      <c r="G37" s="15">
        <v>8563</v>
      </c>
    </row>
    <row r="38" spans="1:7" x14ac:dyDescent="0.2">
      <c r="A38" s="14">
        <v>37</v>
      </c>
      <c r="B38" s="15" t="s">
        <v>58</v>
      </c>
      <c r="C38" s="15" t="s">
        <v>50</v>
      </c>
      <c r="D38" s="15" t="s">
        <v>75</v>
      </c>
      <c r="E38" s="15">
        <v>27</v>
      </c>
      <c r="F38" s="15" t="s">
        <v>52</v>
      </c>
      <c r="G38" s="15">
        <v>8642</v>
      </c>
    </row>
    <row r="39" spans="1:7" x14ac:dyDescent="0.2">
      <c r="A39" s="14">
        <v>38</v>
      </c>
      <c r="B39" s="15" t="s">
        <v>59</v>
      </c>
      <c r="C39" s="15" t="s">
        <v>50</v>
      </c>
      <c r="D39" s="15" t="s">
        <v>76</v>
      </c>
      <c r="E39" s="15">
        <v>25</v>
      </c>
      <c r="F39" s="15" t="s">
        <v>54</v>
      </c>
      <c r="G39" s="15">
        <v>9536</v>
      </c>
    </row>
    <row r="40" spans="1:7" x14ac:dyDescent="0.2">
      <c r="A40" s="14">
        <v>39</v>
      </c>
      <c r="B40" s="15" t="s">
        <v>60</v>
      </c>
      <c r="C40" s="15" t="s">
        <v>50</v>
      </c>
      <c r="D40" s="15" t="s">
        <v>77</v>
      </c>
      <c r="E40" s="15">
        <v>36</v>
      </c>
      <c r="F40" s="15" t="s">
        <v>54</v>
      </c>
      <c r="G40" s="15">
        <v>2567</v>
      </c>
    </row>
    <row r="41" spans="1:7" x14ac:dyDescent="0.2">
      <c r="A41" s="14">
        <v>40</v>
      </c>
      <c r="B41" s="15" t="s">
        <v>61</v>
      </c>
      <c r="C41" s="15" t="s">
        <v>53</v>
      </c>
      <c r="D41" s="17" t="s">
        <v>78</v>
      </c>
      <c r="E41" s="15">
        <v>37</v>
      </c>
      <c r="F41" s="16" t="s">
        <v>51</v>
      </c>
      <c r="G41" s="15">
        <v>2154</v>
      </c>
    </row>
    <row r="42" spans="1:7" x14ac:dyDescent="0.2">
      <c r="A42" s="14">
        <v>41</v>
      </c>
      <c r="B42" s="15" t="s">
        <v>62</v>
      </c>
      <c r="C42" s="15" t="s">
        <v>53</v>
      </c>
      <c r="D42" s="15" t="s">
        <v>75</v>
      </c>
      <c r="E42" s="15">
        <v>26</v>
      </c>
      <c r="F42" s="15" t="s">
        <v>52</v>
      </c>
      <c r="G42" s="15">
        <v>3265</v>
      </c>
    </row>
    <row r="43" spans="1:7" x14ac:dyDescent="0.2">
      <c r="A43" s="14">
        <v>42</v>
      </c>
      <c r="B43" s="15" t="s">
        <v>63</v>
      </c>
      <c r="C43" s="15" t="s">
        <v>50</v>
      </c>
      <c r="D43" s="15" t="s">
        <v>76</v>
      </c>
      <c r="E43" s="15">
        <v>37</v>
      </c>
      <c r="F43" s="15" t="s">
        <v>54</v>
      </c>
      <c r="G43" s="15">
        <v>8765</v>
      </c>
    </row>
    <row r="44" spans="1:7" x14ac:dyDescent="0.2">
      <c r="A44" s="14">
        <v>43</v>
      </c>
      <c r="B44" s="15" t="s">
        <v>64</v>
      </c>
      <c r="C44" s="15" t="s">
        <v>53</v>
      </c>
      <c r="D44" s="15" t="s">
        <v>77</v>
      </c>
      <c r="E44" s="15">
        <v>24</v>
      </c>
      <c r="F44" s="16" t="s">
        <v>51</v>
      </c>
      <c r="G44" s="15">
        <v>3259</v>
      </c>
    </row>
    <row r="45" spans="1:7" x14ac:dyDescent="0.2">
      <c r="A45" s="14">
        <v>44</v>
      </c>
      <c r="B45" s="15" t="s">
        <v>65</v>
      </c>
      <c r="C45" s="15" t="s">
        <v>50</v>
      </c>
      <c r="D45" s="17" t="s">
        <v>78</v>
      </c>
      <c r="E45" s="15">
        <v>39</v>
      </c>
      <c r="F45" s="15" t="s">
        <v>52</v>
      </c>
      <c r="G45" s="15">
        <v>3567</v>
      </c>
    </row>
    <row r="46" spans="1:7" x14ac:dyDescent="0.2">
      <c r="A46" s="14">
        <v>45</v>
      </c>
      <c r="B46" s="15" t="s">
        <v>66</v>
      </c>
      <c r="C46" s="15" t="s">
        <v>53</v>
      </c>
      <c r="D46" s="15" t="s">
        <v>75</v>
      </c>
      <c r="E46" s="15">
        <v>26</v>
      </c>
      <c r="F46" s="15" t="s">
        <v>54</v>
      </c>
      <c r="G46" s="15">
        <v>6540</v>
      </c>
    </row>
    <row r="47" spans="1:7" x14ac:dyDescent="0.2">
      <c r="A47" s="14">
        <v>46</v>
      </c>
      <c r="B47" s="15" t="s">
        <v>67</v>
      </c>
      <c r="C47" s="15" t="s">
        <v>50</v>
      </c>
      <c r="D47" s="15" t="s">
        <v>76</v>
      </c>
      <c r="E47" s="15">
        <v>34</v>
      </c>
      <c r="F47" s="16" t="s">
        <v>51</v>
      </c>
      <c r="G47" s="15">
        <v>2654</v>
      </c>
    </row>
    <row r="48" spans="1:7" x14ac:dyDescent="0.2">
      <c r="A48" s="14">
        <v>47</v>
      </c>
      <c r="B48" s="15" t="s">
        <v>68</v>
      </c>
      <c r="C48" s="15" t="s">
        <v>50</v>
      </c>
      <c r="D48" s="15" t="s">
        <v>77</v>
      </c>
      <c r="E48" s="15">
        <v>28</v>
      </c>
      <c r="F48" s="15" t="s">
        <v>52</v>
      </c>
      <c r="G48" s="15">
        <v>6525</v>
      </c>
    </row>
    <row r="49" spans="1:7" x14ac:dyDescent="0.2">
      <c r="A49" s="14">
        <v>48</v>
      </c>
      <c r="B49" s="15" t="s">
        <v>69</v>
      </c>
      <c r="C49" s="15" t="s">
        <v>50</v>
      </c>
      <c r="D49" s="17" t="s">
        <v>78</v>
      </c>
      <c r="E49" s="15">
        <v>32</v>
      </c>
      <c r="F49" s="15" t="s">
        <v>54</v>
      </c>
      <c r="G49" s="15">
        <v>3265</v>
      </c>
    </row>
    <row r="50" spans="1:7" x14ac:dyDescent="0.2">
      <c r="A50" s="14">
        <v>49</v>
      </c>
      <c r="B50" s="15" t="s">
        <v>70</v>
      </c>
      <c r="C50" s="15" t="s">
        <v>53</v>
      </c>
      <c r="D50" s="15" t="s">
        <v>75</v>
      </c>
      <c r="E50" s="15">
        <v>39</v>
      </c>
      <c r="F50" s="16" t="s">
        <v>51</v>
      </c>
      <c r="G50" s="15">
        <v>3265</v>
      </c>
    </row>
    <row r="51" spans="1:7" x14ac:dyDescent="0.2">
      <c r="A51" s="14">
        <v>50</v>
      </c>
      <c r="B51" s="15" t="s">
        <v>71</v>
      </c>
      <c r="C51" s="15" t="s">
        <v>50</v>
      </c>
      <c r="D51" s="15" t="s">
        <v>76</v>
      </c>
      <c r="E51" s="15">
        <v>29</v>
      </c>
      <c r="F51" s="15" t="s">
        <v>52</v>
      </c>
      <c r="G51" s="15">
        <v>6125</v>
      </c>
    </row>
    <row r="52" spans="1:7" x14ac:dyDescent="0.2">
      <c r="A52" s="14">
        <v>51</v>
      </c>
      <c r="B52" s="15" t="s">
        <v>72</v>
      </c>
      <c r="C52" s="15" t="s">
        <v>50</v>
      </c>
      <c r="D52" s="15" t="s">
        <v>77</v>
      </c>
      <c r="E52" s="15">
        <v>32</v>
      </c>
      <c r="F52" s="16" t="s">
        <v>51</v>
      </c>
      <c r="G52" s="15">
        <v>1562</v>
      </c>
    </row>
    <row r="53" spans="1:7" x14ac:dyDescent="0.2">
      <c r="A53" s="14">
        <v>52</v>
      </c>
      <c r="B53" s="15" t="s">
        <v>56</v>
      </c>
      <c r="C53" s="15" t="s">
        <v>50</v>
      </c>
      <c r="D53" s="17" t="s">
        <v>78</v>
      </c>
      <c r="E53" s="15">
        <v>25</v>
      </c>
      <c r="F53" s="15" t="s">
        <v>52</v>
      </c>
      <c r="G53" s="15">
        <v>1582</v>
      </c>
    </row>
    <row r="54" spans="1:7" x14ac:dyDescent="0.2">
      <c r="A54" s="14">
        <v>53</v>
      </c>
      <c r="B54" s="15" t="s">
        <v>57</v>
      </c>
      <c r="C54" s="15" t="s">
        <v>53</v>
      </c>
      <c r="D54" s="15" t="s">
        <v>75</v>
      </c>
      <c r="E54" s="15">
        <v>36</v>
      </c>
      <c r="F54" s="15" t="s">
        <v>54</v>
      </c>
      <c r="G54" s="15">
        <v>2587</v>
      </c>
    </row>
    <row r="55" spans="1:7" x14ac:dyDescent="0.2">
      <c r="A55" s="14">
        <v>54</v>
      </c>
      <c r="B55" s="15" t="s">
        <v>58</v>
      </c>
      <c r="C55" s="15" t="s">
        <v>50</v>
      </c>
      <c r="D55" s="15" t="s">
        <v>76</v>
      </c>
      <c r="E55" s="15">
        <v>25</v>
      </c>
      <c r="F55" s="16" t="s">
        <v>51</v>
      </c>
      <c r="G55" s="15">
        <v>3549</v>
      </c>
    </row>
    <row r="56" spans="1:7" x14ac:dyDescent="0.2">
      <c r="A56" s="14">
        <v>55</v>
      </c>
      <c r="B56" s="15" t="s">
        <v>59</v>
      </c>
      <c r="C56" s="15" t="s">
        <v>50</v>
      </c>
      <c r="D56" s="15" t="s">
        <v>77</v>
      </c>
      <c r="E56" s="15">
        <v>58</v>
      </c>
      <c r="F56" s="15" t="s">
        <v>52</v>
      </c>
      <c r="G56" s="15">
        <v>2468</v>
      </c>
    </row>
    <row r="57" spans="1:7" x14ac:dyDescent="0.2">
      <c r="A57" s="14">
        <v>56</v>
      </c>
      <c r="B57" s="15" t="s">
        <v>60</v>
      </c>
      <c r="C57" s="17" t="s">
        <v>53</v>
      </c>
      <c r="D57" s="17" t="s">
        <v>78</v>
      </c>
      <c r="E57" s="15">
        <v>24</v>
      </c>
      <c r="F57" s="15" t="s">
        <v>54</v>
      </c>
      <c r="G57" s="15">
        <v>2554</v>
      </c>
    </row>
    <row r="58" spans="1:7" x14ac:dyDescent="0.2">
      <c r="A58" s="14">
        <v>57</v>
      </c>
      <c r="B58" s="15" t="s">
        <v>61</v>
      </c>
      <c r="C58" s="15" t="s">
        <v>50</v>
      </c>
      <c r="D58" s="15" t="s">
        <v>75</v>
      </c>
      <c r="E58" s="15">
        <v>56</v>
      </c>
      <c r="F58" s="16" t="s">
        <v>51</v>
      </c>
      <c r="G58" s="15">
        <v>3598</v>
      </c>
    </row>
    <row r="59" spans="1:7" x14ac:dyDescent="0.2">
      <c r="A59" s="14">
        <v>58</v>
      </c>
      <c r="B59" s="15" t="s">
        <v>62</v>
      </c>
      <c r="C59" s="15" t="s">
        <v>50</v>
      </c>
      <c r="D59" s="15" t="s">
        <v>76</v>
      </c>
      <c r="E59" s="15">
        <v>27</v>
      </c>
      <c r="F59" s="15" t="s">
        <v>52</v>
      </c>
      <c r="G59" s="15">
        <v>2456</v>
      </c>
    </row>
    <row r="60" spans="1:7" x14ac:dyDescent="0.2">
      <c r="A60" s="14">
        <v>59</v>
      </c>
      <c r="B60" s="15" t="s">
        <v>63</v>
      </c>
      <c r="C60" s="15" t="s">
        <v>50</v>
      </c>
      <c r="D60" s="15" t="s">
        <v>77</v>
      </c>
      <c r="E60" s="15">
        <v>40</v>
      </c>
      <c r="F60" s="15" t="s">
        <v>54</v>
      </c>
      <c r="G60" s="15">
        <v>6548</v>
      </c>
    </row>
    <row r="61" spans="1:7" x14ac:dyDescent="0.2">
      <c r="A61" s="14">
        <v>60</v>
      </c>
      <c r="B61" s="15" t="s">
        <v>64</v>
      </c>
      <c r="C61" s="15" t="s">
        <v>50</v>
      </c>
      <c r="D61" s="17" t="s">
        <v>78</v>
      </c>
      <c r="E61" s="15">
        <v>28</v>
      </c>
      <c r="F61" s="15" t="s">
        <v>52</v>
      </c>
      <c r="G61" s="15">
        <v>5486</v>
      </c>
    </row>
    <row r="62" spans="1:7" x14ac:dyDescent="0.2">
      <c r="A62" s="14">
        <v>61</v>
      </c>
      <c r="B62" s="15" t="s">
        <v>65</v>
      </c>
      <c r="C62" s="15" t="s">
        <v>50</v>
      </c>
      <c r="D62" s="15" t="s">
        <v>75</v>
      </c>
      <c r="E62" s="15">
        <v>39</v>
      </c>
      <c r="F62" s="15" t="s">
        <v>54</v>
      </c>
      <c r="G62" s="15">
        <v>1258</v>
      </c>
    </row>
    <row r="63" spans="1:7" x14ac:dyDescent="0.2">
      <c r="A63" s="14">
        <v>62</v>
      </c>
      <c r="B63" s="15" t="s">
        <v>66</v>
      </c>
      <c r="C63" s="15" t="s">
        <v>53</v>
      </c>
      <c r="D63" s="15" t="s">
        <v>76</v>
      </c>
      <c r="E63" s="15">
        <v>38</v>
      </c>
      <c r="F63" s="16" t="s">
        <v>51</v>
      </c>
      <c r="G63" s="15">
        <v>2579</v>
      </c>
    </row>
    <row r="64" spans="1:7" x14ac:dyDescent="0.2">
      <c r="A64" s="14">
        <v>63</v>
      </c>
      <c r="B64" s="15" t="s">
        <v>67</v>
      </c>
      <c r="C64" s="15" t="s">
        <v>50</v>
      </c>
      <c r="D64" s="15" t="s">
        <v>77</v>
      </c>
      <c r="E64" s="15">
        <v>32</v>
      </c>
      <c r="F64" s="15" t="s">
        <v>52</v>
      </c>
      <c r="G64" s="15">
        <v>3256</v>
      </c>
    </row>
    <row r="65" spans="1:7" x14ac:dyDescent="0.2">
      <c r="A65" s="14">
        <v>64</v>
      </c>
      <c r="B65" s="15" t="s">
        <v>68</v>
      </c>
      <c r="C65" s="15" t="s">
        <v>53</v>
      </c>
      <c r="D65" s="17" t="s">
        <v>78</v>
      </c>
      <c r="E65" s="15">
        <v>26</v>
      </c>
      <c r="F65" s="15" t="s">
        <v>54</v>
      </c>
      <c r="G65" s="15">
        <v>2587</v>
      </c>
    </row>
    <row r="66" spans="1:7" x14ac:dyDescent="0.2">
      <c r="A66" s="14">
        <v>65</v>
      </c>
      <c r="B66" s="15" t="s">
        <v>69</v>
      </c>
      <c r="C66" s="15" t="s">
        <v>50</v>
      </c>
      <c r="D66" s="15" t="s">
        <v>75</v>
      </c>
      <c r="E66" s="15">
        <v>31</v>
      </c>
      <c r="F66" s="15" t="s">
        <v>52</v>
      </c>
      <c r="G66" s="15">
        <v>3259</v>
      </c>
    </row>
    <row r="67" spans="1:7" x14ac:dyDescent="0.2">
      <c r="A67" s="14">
        <v>66</v>
      </c>
      <c r="B67" s="15" t="s">
        <v>70</v>
      </c>
      <c r="C67" s="15" t="s">
        <v>50</v>
      </c>
      <c r="D67" s="15" t="s">
        <v>76</v>
      </c>
      <c r="E67" s="15">
        <v>24</v>
      </c>
      <c r="F67" s="15" t="s">
        <v>54</v>
      </c>
      <c r="G67" s="15">
        <v>1546</v>
      </c>
    </row>
    <row r="68" spans="1:7" x14ac:dyDescent="0.2">
      <c r="A68" s="14">
        <v>67</v>
      </c>
      <c r="B68" s="15" t="s">
        <v>71</v>
      </c>
      <c r="C68" s="15" t="s">
        <v>50</v>
      </c>
      <c r="D68" s="15" t="s">
        <v>77</v>
      </c>
      <c r="E68" s="15">
        <v>39</v>
      </c>
      <c r="F68" s="16" t="s">
        <v>51</v>
      </c>
      <c r="G68" s="15">
        <v>3579</v>
      </c>
    </row>
    <row r="69" spans="1:7" x14ac:dyDescent="0.2">
      <c r="A69" s="14">
        <v>68</v>
      </c>
      <c r="B69" s="15" t="s">
        <v>72</v>
      </c>
      <c r="C69" s="15" t="s">
        <v>50</v>
      </c>
      <c r="D69" s="17" t="s">
        <v>78</v>
      </c>
      <c r="E69" s="15">
        <v>28</v>
      </c>
      <c r="F69" s="15" t="s">
        <v>52</v>
      </c>
      <c r="G69" s="15">
        <v>6597</v>
      </c>
    </row>
    <row r="70" spans="1:7" x14ac:dyDescent="0.2">
      <c r="A70" s="14">
        <v>69</v>
      </c>
      <c r="B70" s="15" t="s">
        <v>56</v>
      </c>
      <c r="C70" s="15" t="s">
        <v>50</v>
      </c>
      <c r="D70" s="15" t="s">
        <v>75</v>
      </c>
      <c r="E70" s="15">
        <v>26</v>
      </c>
      <c r="F70" s="15" t="s">
        <v>54</v>
      </c>
      <c r="G70" s="15">
        <v>9654</v>
      </c>
    </row>
    <row r="71" spans="1:7" x14ac:dyDescent="0.2">
      <c r="A71" s="14">
        <v>70</v>
      </c>
      <c r="B71" s="15" t="s">
        <v>57</v>
      </c>
      <c r="C71" s="15" t="s">
        <v>50</v>
      </c>
      <c r="D71" s="15" t="s">
        <v>76</v>
      </c>
      <c r="E71" s="15">
        <v>46</v>
      </c>
      <c r="F71" s="15" t="s">
        <v>54</v>
      </c>
      <c r="G71" s="15">
        <v>3569</v>
      </c>
    </row>
    <row r="72" spans="1:7" x14ac:dyDescent="0.2">
      <c r="A72" s="14">
        <v>71</v>
      </c>
      <c r="B72" s="15" t="s">
        <v>58</v>
      </c>
      <c r="C72" s="15" t="s">
        <v>50</v>
      </c>
      <c r="D72" s="15" t="s">
        <v>77</v>
      </c>
      <c r="E72" s="15">
        <v>37</v>
      </c>
      <c r="F72" s="16" t="s">
        <v>51</v>
      </c>
      <c r="G72" s="15">
        <v>2564</v>
      </c>
    </row>
    <row r="73" spans="1:7" x14ac:dyDescent="0.2">
      <c r="A73" s="14">
        <v>72</v>
      </c>
      <c r="B73" s="15" t="s">
        <v>59</v>
      </c>
      <c r="C73" s="15" t="s">
        <v>50</v>
      </c>
      <c r="D73" s="17" t="s">
        <v>78</v>
      </c>
      <c r="E73" s="15">
        <v>52</v>
      </c>
      <c r="F73" s="15" t="s">
        <v>52</v>
      </c>
      <c r="G73" s="15">
        <v>8561</v>
      </c>
    </row>
    <row r="74" spans="1:7" x14ac:dyDescent="0.2">
      <c r="A74" s="14">
        <v>73</v>
      </c>
      <c r="B74" s="15" t="s">
        <v>60</v>
      </c>
      <c r="C74" s="15" t="s">
        <v>50</v>
      </c>
      <c r="D74" s="15" t="s">
        <v>75</v>
      </c>
      <c r="E74" s="15">
        <v>46</v>
      </c>
      <c r="F74" s="15" t="s">
        <v>54</v>
      </c>
      <c r="G74" s="15">
        <v>5489</v>
      </c>
    </row>
    <row r="75" spans="1:7" x14ac:dyDescent="0.2">
      <c r="A75" s="14">
        <v>74</v>
      </c>
      <c r="B75" s="15" t="s">
        <v>61</v>
      </c>
      <c r="C75" s="15" t="s">
        <v>50</v>
      </c>
      <c r="D75" s="15" t="s">
        <v>76</v>
      </c>
      <c r="E75" s="15">
        <v>42</v>
      </c>
      <c r="F75" s="15" t="s">
        <v>54</v>
      </c>
      <c r="G75" s="15">
        <v>5489</v>
      </c>
    </row>
    <row r="76" spans="1:7" x14ac:dyDescent="0.2">
      <c r="A76" s="14">
        <v>75</v>
      </c>
      <c r="B76" s="15" t="s">
        <v>62</v>
      </c>
      <c r="C76" s="15" t="s">
        <v>53</v>
      </c>
      <c r="D76" s="15" t="s">
        <v>77</v>
      </c>
      <c r="E76" s="15">
        <v>21</v>
      </c>
      <c r="F76" s="16" t="s">
        <v>51</v>
      </c>
      <c r="G76" s="15">
        <v>6574</v>
      </c>
    </row>
    <row r="77" spans="1:7" x14ac:dyDescent="0.2">
      <c r="A77" s="14">
        <v>76</v>
      </c>
      <c r="B77" s="15" t="s">
        <v>63</v>
      </c>
      <c r="C77" s="15" t="s">
        <v>50</v>
      </c>
      <c r="D77" s="17" t="s">
        <v>78</v>
      </c>
      <c r="E77" s="15">
        <v>28</v>
      </c>
      <c r="F77" s="15" t="s">
        <v>52</v>
      </c>
      <c r="G77" s="15">
        <v>5555</v>
      </c>
    </row>
    <row r="78" spans="1:7" x14ac:dyDescent="0.2">
      <c r="A78" s="14">
        <v>77</v>
      </c>
      <c r="B78" s="15" t="s">
        <v>64</v>
      </c>
      <c r="C78" s="15" t="s">
        <v>50</v>
      </c>
      <c r="D78" s="15" t="s">
        <v>75</v>
      </c>
      <c r="E78" s="15">
        <v>29</v>
      </c>
      <c r="F78" s="15" t="s">
        <v>54</v>
      </c>
      <c r="G78" s="15">
        <v>6125</v>
      </c>
    </row>
    <row r="79" spans="1:7" x14ac:dyDescent="0.2">
      <c r="A79" s="14">
        <v>78</v>
      </c>
      <c r="B79" s="15" t="s">
        <v>65</v>
      </c>
      <c r="C79" s="15" t="s">
        <v>50</v>
      </c>
      <c r="D79" s="15" t="s">
        <v>76</v>
      </c>
      <c r="E79" s="15">
        <v>23</v>
      </c>
      <c r="F79" s="16" t="s">
        <v>51</v>
      </c>
      <c r="G79" s="15">
        <v>5412</v>
      </c>
    </row>
    <row r="80" spans="1:7" x14ac:dyDescent="0.2">
      <c r="A80" s="14">
        <v>79</v>
      </c>
      <c r="B80" s="15" t="s">
        <v>66</v>
      </c>
      <c r="C80" s="15" t="s">
        <v>53</v>
      </c>
      <c r="D80" s="15" t="s">
        <v>77</v>
      </c>
      <c r="E80" s="15">
        <v>41</v>
      </c>
      <c r="F80" s="15" t="s">
        <v>52</v>
      </c>
      <c r="G80" s="15">
        <v>3256</v>
      </c>
    </row>
    <row r="81" spans="1:7" x14ac:dyDescent="0.2">
      <c r="A81" s="14">
        <v>80</v>
      </c>
      <c r="B81" s="15" t="s">
        <v>67</v>
      </c>
      <c r="C81" s="15" t="s">
        <v>50</v>
      </c>
      <c r="D81" s="17" t="s">
        <v>78</v>
      </c>
      <c r="E81" s="15">
        <v>28</v>
      </c>
      <c r="F81" s="15" t="s">
        <v>54</v>
      </c>
      <c r="G81" s="15">
        <v>3264</v>
      </c>
    </row>
    <row r="82" spans="1:7" x14ac:dyDescent="0.2">
      <c r="A82" s="14">
        <v>81</v>
      </c>
      <c r="B82" s="15" t="s">
        <v>68</v>
      </c>
      <c r="C82" s="15" t="s">
        <v>50</v>
      </c>
      <c r="D82" s="15" t="s">
        <v>75</v>
      </c>
      <c r="E82" s="15">
        <v>37</v>
      </c>
      <c r="F82" s="16" t="s">
        <v>51</v>
      </c>
      <c r="G82" s="15">
        <v>4569</v>
      </c>
    </row>
    <row r="83" spans="1:7" x14ac:dyDescent="0.2">
      <c r="A83" s="14">
        <v>82</v>
      </c>
      <c r="B83" s="15" t="s">
        <v>69</v>
      </c>
      <c r="C83" s="15" t="s">
        <v>50</v>
      </c>
      <c r="D83" s="15" t="s">
        <v>76</v>
      </c>
      <c r="E83" s="15">
        <v>34</v>
      </c>
      <c r="F83" s="15" t="s">
        <v>52</v>
      </c>
      <c r="G83" s="15">
        <v>7521</v>
      </c>
    </row>
    <row r="84" spans="1:7" x14ac:dyDescent="0.2">
      <c r="A84" s="14">
        <v>83</v>
      </c>
      <c r="B84" s="15" t="s">
        <v>70</v>
      </c>
      <c r="C84" s="15" t="s">
        <v>50</v>
      </c>
      <c r="D84" s="15" t="s">
        <v>77</v>
      </c>
      <c r="E84" s="15">
        <v>26</v>
      </c>
      <c r="F84" s="15" t="s">
        <v>54</v>
      </c>
      <c r="G84" s="15">
        <v>6458</v>
      </c>
    </row>
    <row r="85" spans="1:7" x14ac:dyDescent="0.2">
      <c r="A85" s="14">
        <v>84</v>
      </c>
      <c r="B85" s="15" t="s">
        <v>71</v>
      </c>
      <c r="C85" s="15" t="s">
        <v>50</v>
      </c>
      <c r="D85" s="17" t="s">
        <v>78</v>
      </c>
      <c r="E85" s="15">
        <v>35</v>
      </c>
      <c r="F85" s="15" t="s">
        <v>52</v>
      </c>
      <c r="G85" s="15">
        <v>7569</v>
      </c>
    </row>
    <row r="86" spans="1:7" x14ac:dyDescent="0.2">
      <c r="A86" s="14">
        <v>85</v>
      </c>
      <c r="B86" s="15" t="s">
        <v>72</v>
      </c>
      <c r="C86" s="15" t="s">
        <v>53</v>
      </c>
      <c r="D86" s="15" t="s">
        <v>75</v>
      </c>
      <c r="E86" s="15">
        <v>36</v>
      </c>
      <c r="F86" s="15" t="s">
        <v>54</v>
      </c>
      <c r="G86" s="15">
        <v>8514</v>
      </c>
    </row>
    <row r="87" spans="1:7" x14ac:dyDescent="0.2">
      <c r="A87" s="14">
        <v>86</v>
      </c>
      <c r="B87" s="15" t="s">
        <v>56</v>
      </c>
      <c r="C87" s="15" t="s">
        <v>50</v>
      </c>
      <c r="D87" s="15" t="s">
        <v>76</v>
      </c>
      <c r="E87" s="15">
        <v>29</v>
      </c>
      <c r="F87" s="16" t="s">
        <v>51</v>
      </c>
      <c r="G87" s="15">
        <v>8563</v>
      </c>
    </row>
    <row r="88" spans="1:7" x14ac:dyDescent="0.2">
      <c r="A88" s="14">
        <v>87</v>
      </c>
      <c r="B88" s="15" t="s">
        <v>57</v>
      </c>
      <c r="C88" s="15" t="s">
        <v>50</v>
      </c>
      <c r="D88" s="15" t="s">
        <v>77</v>
      </c>
      <c r="E88" s="15">
        <v>27</v>
      </c>
      <c r="F88" s="15" t="s">
        <v>52</v>
      </c>
      <c r="G88" s="15">
        <v>8642</v>
      </c>
    </row>
    <row r="89" spans="1:7" x14ac:dyDescent="0.2">
      <c r="A89" s="14">
        <v>88</v>
      </c>
      <c r="B89" s="15" t="s">
        <v>58</v>
      </c>
      <c r="C89" s="15" t="s">
        <v>50</v>
      </c>
      <c r="D89" s="17" t="s">
        <v>78</v>
      </c>
      <c r="E89" s="15">
        <v>25</v>
      </c>
      <c r="F89" s="15" t="s">
        <v>54</v>
      </c>
      <c r="G89" s="15">
        <v>9536</v>
      </c>
    </row>
    <row r="90" spans="1:7" x14ac:dyDescent="0.2">
      <c r="A90" s="14">
        <v>89</v>
      </c>
      <c r="B90" s="15" t="s">
        <v>59</v>
      </c>
      <c r="C90" s="15" t="s">
        <v>50</v>
      </c>
      <c r="D90" s="15" t="s">
        <v>75</v>
      </c>
      <c r="E90" s="15">
        <v>36</v>
      </c>
      <c r="F90" s="15" t="s">
        <v>54</v>
      </c>
      <c r="G90" s="15">
        <v>2567</v>
      </c>
    </row>
    <row r="91" spans="1:7" x14ac:dyDescent="0.2">
      <c r="A91" s="14">
        <v>90</v>
      </c>
      <c r="B91" s="15" t="s">
        <v>60</v>
      </c>
      <c r="C91" s="15" t="s">
        <v>53</v>
      </c>
      <c r="D91" s="15" t="s">
        <v>76</v>
      </c>
      <c r="E91" s="15">
        <v>37</v>
      </c>
      <c r="F91" s="16" t="s">
        <v>51</v>
      </c>
      <c r="G91" s="15">
        <v>2154</v>
      </c>
    </row>
    <row r="92" spans="1:7" x14ac:dyDescent="0.2">
      <c r="A92" s="14">
        <v>91</v>
      </c>
      <c r="B92" s="15" t="s">
        <v>61</v>
      </c>
      <c r="C92" s="15" t="s">
        <v>53</v>
      </c>
      <c r="D92" s="15" t="s">
        <v>77</v>
      </c>
      <c r="E92" s="15">
        <v>26</v>
      </c>
      <c r="F92" s="15" t="s">
        <v>52</v>
      </c>
      <c r="G92" s="15">
        <v>3265</v>
      </c>
    </row>
    <row r="93" spans="1:7" x14ac:dyDescent="0.2">
      <c r="A93" s="14">
        <v>92</v>
      </c>
      <c r="B93" s="15" t="s">
        <v>62</v>
      </c>
      <c r="C93" s="15" t="s">
        <v>50</v>
      </c>
      <c r="D93" s="17" t="s">
        <v>78</v>
      </c>
      <c r="E93" s="15">
        <v>37</v>
      </c>
      <c r="F93" s="15" t="s">
        <v>54</v>
      </c>
      <c r="G93" s="15">
        <v>8765</v>
      </c>
    </row>
    <row r="94" spans="1:7" x14ac:dyDescent="0.2">
      <c r="A94" s="14">
        <v>93</v>
      </c>
      <c r="B94" s="15" t="s">
        <v>63</v>
      </c>
      <c r="C94" s="15" t="s">
        <v>53</v>
      </c>
      <c r="D94" s="15" t="s">
        <v>75</v>
      </c>
      <c r="E94" s="15">
        <v>24</v>
      </c>
      <c r="F94" s="16" t="s">
        <v>51</v>
      </c>
      <c r="G94" s="15">
        <v>3259</v>
      </c>
    </row>
    <row r="95" spans="1:7" x14ac:dyDescent="0.2">
      <c r="A95" s="14">
        <v>94</v>
      </c>
      <c r="B95" s="15" t="s">
        <v>64</v>
      </c>
      <c r="C95" s="15" t="s">
        <v>50</v>
      </c>
      <c r="D95" s="15" t="s">
        <v>76</v>
      </c>
      <c r="E95" s="15">
        <v>39</v>
      </c>
      <c r="F95" s="15" t="s">
        <v>52</v>
      </c>
      <c r="G95" s="15">
        <v>3567</v>
      </c>
    </row>
    <row r="96" spans="1:7" x14ac:dyDescent="0.2">
      <c r="A96" s="14">
        <v>95</v>
      </c>
      <c r="B96" s="15" t="s">
        <v>65</v>
      </c>
      <c r="C96" s="15" t="s">
        <v>53</v>
      </c>
      <c r="D96" s="15" t="s">
        <v>77</v>
      </c>
      <c r="E96" s="15">
        <v>26</v>
      </c>
      <c r="F96" s="15" t="s">
        <v>54</v>
      </c>
      <c r="G96" s="15">
        <v>6540</v>
      </c>
    </row>
    <row r="97" spans="1:7" x14ac:dyDescent="0.2">
      <c r="A97" s="14">
        <v>96</v>
      </c>
      <c r="B97" s="15" t="s">
        <v>66</v>
      </c>
      <c r="C97" s="15" t="s">
        <v>50</v>
      </c>
      <c r="D97" s="17" t="s">
        <v>78</v>
      </c>
      <c r="E97" s="15">
        <v>34</v>
      </c>
      <c r="F97" s="16" t="s">
        <v>51</v>
      </c>
      <c r="G97" s="15">
        <v>2654</v>
      </c>
    </row>
    <row r="98" spans="1:7" x14ac:dyDescent="0.2">
      <c r="A98" s="14">
        <v>97</v>
      </c>
      <c r="B98" s="15" t="s">
        <v>67</v>
      </c>
      <c r="C98" s="15" t="s">
        <v>50</v>
      </c>
      <c r="D98" s="15" t="s">
        <v>75</v>
      </c>
      <c r="E98" s="15">
        <v>28</v>
      </c>
      <c r="F98" s="15" t="s">
        <v>52</v>
      </c>
      <c r="G98" s="15">
        <v>6525</v>
      </c>
    </row>
    <row r="99" spans="1:7" x14ac:dyDescent="0.2">
      <c r="A99" s="14">
        <v>98</v>
      </c>
      <c r="B99" s="15" t="s">
        <v>68</v>
      </c>
      <c r="C99" s="15" t="s">
        <v>50</v>
      </c>
      <c r="D99" s="15" t="s">
        <v>76</v>
      </c>
      <c r="E99" s="15">
        <v>32</v>
      </c>
      <c r="F99" s="15" t="s">
        <v>54</v>
      </c>
      <c r="G99" s="15">
        <v>3265</v>
      </c>
    </row>
    <row r="100" spans="1:7" x14ac:dyDescent="0.2">
      <c r="A100" s="14">
        <v>99</v>
      </c>
      <c r="B100" s="15" t="s">
        <v>69</v>
      </c>
      <c r="C100" s="15" t="s">
        <v>53</v>
      </c>
      <c r="D100" s="15" t="s">
        <v>77</v>
      </c>
      <c r="E100" s="15">
        <v>39</v>
      </c>
      <c r="F100" s="16" t="s">
        <v>51</v>
      </c>
      <c r="G100" s="15">
        <v>3265</v>
      </c>
    </row>
    <row r="101" spans="1:7" x14ac:dyDescent="0.2">
      <c r="A101" s="14">
        <v>100</v>
      </c>
      <c r="B101" s="15" t="s">
        <v>70</v>
      </c>
      <c r="C101" s="15" t="s">
        <v>50</v>
      </c>
      <c r="D101" s="17" t="s">
        <v>78</v>
      </c>
      <c r="E101" s="15">
        <v>29</v>
      </c>
      <c r="F101" s="15" t="s">
        <v>52</v>
      </c>
      <c r="G101" s="15">
        <v>6125</v>
      </c>
    </row>
    <row r="102" spans="1:7" x14ac:dyDescent="0.2">
      <c r="A102" s="11"/>
    </row>
    <row r="103" spans="1:7" x14ac:dyDescent="0.2">
      <c r="A103" s="11"/>
    </row>
    <row r="104" spans="1:7" x14ac:dyDescent="0.2">
      <c r="A104" s="11"/>
    </row>
    <row r="105" spans="1:7" x14ac:dyDescent="0.2">
      <c r="A105" s="11"/>
    </row>
    <row r="106" spans="1:7" x14ac:dyDescent="0.2">
      <c r="A106" s="11"/>
    </row>
    <row r="107" spans="1:7" x14ac:dyDescent="0.2">
      <c r="A107" s="11"/>
    </row>
  </sheetData>
  <printOptions headings="1"/>
  <pageMargins left="0.7" right="0.22" top="0.56999999999999995" bottom="0.75" header="0.3" footer="0.3"/>
  <pageSetup paperSize="9" scale="61" fitToWidth="0" fitToHeight="0"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07"/>
  <sheetViews>
    <sheetView topLeftCell="A79" zoomScaleNormal="100" workbookViewId="0">
      <selection sqref="A1:F101"/>
    </sheetView>
  </sheetViews>
  <sheetFormatPr defaultRowHeight="14.25" x14ac:dyDescent="0.2"/>
  <cols>
    <col min="1" max="1" width="5.75" style="12" bestFit="1" customWidth="1"/>
    <col min="2" max="2" width="19.125" customWidth="1"/>
    <col min="3" max="3" width="11.625" customWidth="1"/>
    <col min="4" max="4" width="7.5" customWidth="1"/>
  </cols>
  <sheetData>
    <row r="1" spans="1:6" x14ac:dyDescent="0.2">
      <c r="A1" s="13" t="s">
        <v>55</v>
      </c>
      <c r="B1" s="13" t="s">
        <v>73</v>
      </c>
      <c r="C1" s="13" t="s">
        <v>81</v>
      </c>
      <c r="D1" s="13" t="s">
        <v>84</v>
      </c>
      <c r="E1" s="19" t="s">
        <v>85</v>
      </c>
      <c r="F1" s="19" t="s">
        <v>86</v>
      </c>
    </row>
    <row r="2" spans="1:6" x14ac:dyDescent="0.2">
      <c r="A2" s="14">
        <v>1</v>
      </c>
      <c r="B2" s="15" t="s">
        <v>56</v>
      </c>
      <c r="C2" s="15" t="s">
        <v>82</v>
      </c>
      <c r="D2" s="15">
        <v>32</v>
      </c>
      <c r="E2">
        <v>293</v>
      </c>
      <c r="F2">
        <f>D2*E2</f>
        <v>9376</v>
      </c>
    </row>
    <row r="3" spans="1:6" x14ac:dyDescent="0.2">
      <c r="A3" s="14">
        <v>2</v>
      </c>
      <c r="B3" s="15" t="s">
        <v>57</v>
      </c>
      <c r="C3" s="15" t="s">
        <v>83</v>
      </c>
      <c r="D3" s="15">
        <v>25</v>
      </c>
      <c r="E3">
        <v>294</v>
      </c>
      <c r="F3">
        <f t="shared" ref="F3:F66" si="0">D3*E3</f>
        <v>7350</v>
      </c>
    </row>
    <row r="4" spans="1:6" x14ac:dyDescent="0.2">
      <c r="A4" s="14">
        <v>3</v>
      </c>
      <c r="B4" s="15" t="s">
        <v>58</v>
      </c>
      <c r="C4" s="15" t="s">
        <v>82</v>
      </c>
      <c r="D4" s="15">
        <v>36</v>
      </c>
      <c r="E4">
        <v>215</v>
      </c>
      <c r="F4">
        <f t="shared" si="0"/>
        <v>7740</v>
      </c>
    </row>
    <row r="5" spans="1:6" x14ac:dyDescent="0.2">
      <c r="A5" s="14">
        <v>4</v>
      </c>
      <c r="B5" s="15" t="s">
        <v>59</v>
      </c>
      <c r="C5" s="15" t="s">
        <v>83</v>
      </c>
      <c r="D5" s="15">
        <v>25</v>
      </c>
      <c r="E5">
        <v>234</v>
      </c>
      <c r="F5">
        <f t="shared" si="0"/>
        <v>5850</v>
      </c>
    </row>
    <row r="6" spans="1:6" x14ac:dyDescent="0.2">
      <c r="A6" s="14">
        <v>5</v>
      </c>
      <c r="B6" s="15" t="s">
        <v>60</v>
      </c>
      <c r="C6" s="15" t="s">
        <v>82</v>
      </c>
      <c r="D6" s="15">
        <v>58</v>
      </c>
      <c r="E6">
        <v>211</v>
      </c>
      <c r="F6">
        <f t="shared" si="0"/>
        <v>12238</v>
      </c>
    </row>
    <row r="7" spans="1:6" x14ac:dyDescent="0.2">
      <c r="A7" s="14">
        <v>6</v>
      </c>
      <c r="B7" s="15" t="s">
        <v>61</v>
      </c>
      <c r="C7" s="15" t="s">
        <v>83</v>
      </c>
      <c r="D7" s="15">
        <v>24</v>
      </c>
      <c r="E7">
        <v>286</v>
      </c>
      <c r="F7">
        <f t="shared" si="0"/>
        <v>6864</v>
      </c>
    </row>
    <row r="8" spans="1:6" x14ac:dyDescent="0.2">
      <c r="A8" s="14">
        <v>7</v>
      </c>
      <c r="B8" s="15" t="s">
        <v>62</v>
      </c>
      <c r="C8" s="15" t="s">
        <v>82</v>
      </c>
      <c r="D8" s="15">
        <v>56</v>
      </c>
      <c r="E8">
        <v>236</v>
      </c>
      <c r="F8">
        <f t="shared" si="0"/>
        <v>13216</v>
      </c>
    </row>
    <row r="9" spans="1:6" x14ac:dyDescent="0.2">
      <c r="A9" s="14">
        <v>8</v>
      </c>
      <c r="B9" s="15" t="s">
        <v>63</v>
      </c>
      <c r="C9" s="15" t="s">
        <v>83</v>
      </c>
      <c r="D9" s="15">
        <v>27</v>
      </c>
      <c r="E9">
        <v>243</v>
      </c>
      <c r="F9">
        <f t="shared" si="0"/>
        <v>6561</v>
      </c>
    </row>
    <row r="10" spans="1:6" x14ac:dyDescent="0.2">
      <c r="A10" s="14">
        <v>9</v>
      </c>
      <c r="B10" s="15" t="s">
        <v>64</v>
      </c>
      <c r="C10" s="15" t="s">
        <v>82</v>
      </c>
      <c r="D10" s="15">
        <v>40</v>
      </c>
      <c r="E10">
        <v>219</v>
      </c>
      <c r="F10">
        <f t="shared" si="0"/>
        <v>8760</v>
      </c>
    </row>
    <row r="11" spans="1:6" x14ac:dyDescent="0.2">
      <c r="A11" s="14">
        <v>10</v>
      </c>
      <c r="B11" s="15" t="s">
        <v>65</v>
      </c>
      <c r="C11" s="15" t="s">
        <v>83</v>
      </c>
      <c r="D11" s="15">
        <v>28</v>
      </c>
      <c r="E11">
        <v>242</v>
      </c>
      <c r="F11">
        <f t="shared" si="0"/>
        <v>6776</v>
      </c>
    </row>
    <row r="12" spans="1:6" x14ac:dyDescent="0.2">
      <c r="A12" s="14">
        <v>11</v>
      </c>
      <c r="B12" s="15" t="s">
        <v>66</v>
      </c>
      <c r="C12" s="15" t="s">
        <v>82</v>
      </c>
      <c r="D12" s="15">
        <v>39</v>
      </c>
      <c r="E12">
        <v>251</v>
      </c>
      <c r="F12">
        <f t="shared" si="0"/>
        <v>9789</v>
      </c>
    </row>
    <row r="13" spans="1:6" x14ac:dyDescent="0.2">
      <c r="A13" s="14">
        <v>12</v>
      </c>
      <c r="B13" s="15" t="s">
        <v>67</v>
      </c>
      <c r="C13" s="15" t="s">
        <v>83</v>
      </c>
      <c r="D13" s="15">
        <v>38</v>
      </c>
      <c r="E13">
        <v>248</v>
      </c>
      <c r="F13">
        <f t="shared" si="0"/>
        <v>9424</v>
      </c>
    </row>
    <row r="14" spans="1:6" x14ac:dyDescent="0.2">
      <c r="A14" s="14">
        <v>13</v>
      </c>
      <c r="B14" s="15" t="s">
        <v>68</v>
      </c>
      <c r="C14" s="15" t="s">
        <v>82</v>
      </c>
      <c r="D14" s="15">
        <v>32</v>
      </c>
      <c r="E14">
        <v>230</v>
      </c>
      <c r="F14">
        <f t="shared" si="0"/>
        <v>7360</v>
      </c>
    </row>
    <row r="15" spans="1:6" x14ac:dyDescent="0.2">
      <c r="A15" s="14">
        <v>14</v>
      </c>
      <c r="B15" s="15" t="s">
        <v>69</v>
      </c>
      <c r="C15" s="15" t="s">
        <v>83</v>
      </c>
      <c r="D15" s="15">
        <v>26</v>
      </c>
      <c r="E15">
        <v>281</v>
      </c>
      <c r="F15">
        <f t="shared" si="0"/>
        <v>7306</v>
      </c>
    </row>
    <row r="16" spans="1:6" x14ac:dyDescent="0.2">
      <c r="A16" s="14">
        <v>15</v>
      </c>
      <c r="B16" s="15" t="s">
        <v>70</v>
      </c>
      <c r="C16" s="15" t="s">
        <v>82</v>
      </c>
      <c r="D16" s="15">
        <v>31</v>
      </c>
      <c r="E16">
        <v>261</v>
      </c>
      <c r="F16">
        <f t="shared" si="0"/>
        <v>8091</v>
      </c>
    </row>
    <row r="17" spans="1:6" x14ac:dyDescent="0.2">
      <c r="A17" s="14">
        <v>16</v>
      </c>
      <c r="B17" s="15" t="s">
        <v>71</v>
      </c>
      <c r="C17" s="15" t="s">
        <v>83</v>
      </c>
      <c r="D17" s="15">
        <v>24</v>
      </c>
      <c r="E17">
        <v>274</v>
      </c>
      <c r="F17">
        <f t="shared" si="0"/>
        <v>6576</v>
      </c>
    </row>
    <row r="18" spans="1:6" x14ac:dyDescent="0.2">
      <c r="A18" s="14">
        <v>17</v>
      </c>
      <c r="B18" s="15" t="s">
        <v>72</v>
      </c>
      <c r="C18" s="15" t="s">
        <v>82</v>
      </c>
      <c r="D18" s="15">
        <v>39</v>
      </c>
      <c r="E18">
        <v>283</v>
      </c>
      <c r="F18">
        <f t="shared" si="0"/>
        <v>11037</v>
      </c>
    </row>
    <row r="19" spans="1:6" x14ac:dyDescent="0.2">
      <c r="A19" s="14">
        <v>18</v>
      </c>
      <c r="B19" s="15" t="s">
        <v>56</v>
      </c>
      <c r="C19" s="15" t="s">
        <v>83</v>
      </c>
      <c r="D19" s="15">
        <v>28</v>
      </c>
      <c r="E19">
        <v>249</v>
      </c>
      <c r="F19">
        <f t="shared" si="0"/>
        <v>6972</v>
      </c>
    </row>
    <row r="20" spans="1:6" x14ac:dyDescent="0.2">
      <c r="A20" s="14">
        <v>19</v>
      </c>
      <c r="B20" s="15" t="s">
        <v>57</v>
      </c>
      <c r="C20" s="15" t="s">
        <v>82</v>
      </c>
      <c r="D20" s="15">
        <v>26</v>
      </c>
      <c r="E20">
        <v>226</v>
      </c>
      <c r="F20">
        <f t="shared" si="0"/>
        <v>5876</v>
      </c>
    </row>
    <row r="21" spans="1:6" x14ac:dyDescent="0.2">
      <c r="A21" s="14">
        <v>20</v>
      </c>
      <c r="B21" s="15" t="s">
        <v>58</v>
      </c>
      <c r="C21" s="15" t="s">
        <v>83</v>
      </c>
      <c r="D21" s="15">
        <v>46</v>
      </c>
      <c r="E21">
        <v>275</v>
      </c>
      <c r="F21">
        <f t="shared" si="0"/>
        <v>12650</v>
      </c>
    </row>
    <row r="22" spans="1:6" x14ac:dyDescent="0.2">
      <c r="A22" s="14">
        <v>21</v>
      </c>
      <c r="B22" s="15" t="s">
        <v>59</v>
      </c>
      <c r="C22" s="15" t="s">
        <v>82</v>
      </c>
      <c r="D22" s="15">
        <v>37</v>
      </c>
      <c r="E22">
        <v>286</v>
      </c>
      <c r="F22">
        <f t="shared" si="0"/>
        <v>10582</v>
      </c>
    </row>
    <row r="23" spans="1:6" x14ac:dyDescent="0.2">
      <c r="A23" s="14">
        <v>22</v>
      </c>
      <c r="B23" s="15" t="s">
        <v>60</v>
      </c>
      <c r="C23" s="15" t="s">
        <v>83</v>
      </c>
      <c r="D23" s="15">
        <v>52</v>
      </c>
      <c r="E23">
        <v>220</v>
      </c>
      <c r="F23">
        <f t="shared" si="0"/>
        <v>11440</v>
      </c>
    </row>
    <row r="24" spans="1:6" x14ac:dyDescent="0.2">
      <c r="A24" s="14">
        <v>23</v>
      </c>
      <c r="B24" s="15" t="s">
        <v>61</v>
      </c>
      <c r="C24" s="15" t="s">
        <v>82</v>
      </c>
      <c r="D24" s="15">
        <v>46</v>
      </c>
      <c r="E24">
        <v>247</v>
      </c>
      <c r="F24">
        <f t="shared" si="0"/>
        <v>11362</v>
      </c>
    </row>
    <row r="25" spans="1:6" x14ac:dyDescent="0.2">
      <c r="A25" s="14">
        <v>24</v>
      </c>
      <c r="B25" s="15" t="s">
        <v>62</v>
      </c>
      <c r="C25" s="15" t="s">
        <v>83</v>
      </c>
      <c r="D25" s="15">
        <v>42</v>
      </c>
      <c r="E25">
        <v>255</v>
      </c>
      <c r="F25">
        <f t="shared" si="0"/>
        <v>10710</v>
      </c>
    </row>
    <row r="26" spans="1:6" x14ac:dyDescent="0.2">
      <c r="A26" s="14">
        <v>25</v>
      </c>
      <c r="B26" s="15" t="s">
        <v>63</v>
      </c>
      <c r="C26" s="15" t="s">
        <v>82</v>
      </c>
      <c r="D26" s="15">
        <v>21</v>
      </c>
      <c r="E26">
        <v>284</v>
      </c>
      <c r="F26">
        <f t="shared" si="0"/>
        <v>5964</v>
      </c>
    </row>
    <row r="27" spans="1:6" x14ac:dyDescent="0.2">
      <c r="A27" s="14">
        <v>26</v>
      </c>
      <c r="B27" s="15" t="s">
        <v>64</v>
      </c>
      <c r="C27" s="15" t="s">
        <v>83</v>
      </c>
      <c r="D27" s="15">
        <v>28</v>
      </c>
      <c r="E27">
        <v>260</v>
      </c>
      <c r="F27">
        <f t="shared" si="0"/>
        <v>7280</v>
      </c>
    </row>
    <row r="28" spans="1:6" x14ac:dyDescent="0.2">
      <c r="A28" s="14">
        <v>27</v>
      </c>
      <c r="B28" s="15" t="s">
        <v>65</v>
      </c>
      <c r="C28" s="15" t="s">
        <v>82</v>
      </c>
      <c r="D28" s="15">
        <v>29</v>
      </c>
      <c r="E28">
        <v>211</v>
      </c>
      <c r="F28">
        <f t="shared" si="0"/>
        <v>6119</v>
      </c>
    </row>
    <row r="29" spans="1:6" x14ac:dyDescent="0.2">
      <c r="A29" s="14">
        <v>28</v>
      </c>
      <c r="B29" s="15" t="s">
        <v>66</v>
      </c>
      <c r="C29" s="15" t="s">
        <v>83</v>
      </c>
      <c r="D29" s="15">
        <v>23</v>
      </c>
      <c r="E29">
        <v>243</v>
      </c>
      <c r="F29">
        <f t="shared" si="0"/>
        <v>5589</v>
      </c>
    </row>
    <row r="30" spans="1:6" x14ac:dyDescent="0.2">
      <c r="A30" s="14">
        <v>29</v>
      </c>
      <c r="B30" s="15" t="s">
        <v>67</v>
      </c>
      <c r="C30" s="15" t="s">
        <v>82</v>
      </c>
      <c r="D30" s="15">
        <v>41</v>
      </c>
      <c r="E30">
        <v>285</v>
      </c>
      <c r="F30">
        <f t="shared" si="0"/>
        <v>11685</v>
      </c>
    </row>
    <row r="31" spans="1:6" x14ac:dyDescent="0.2">
      <c r="A31" s="14">
        <v>30</v>
      </c>
      <c r="B31" s="15" t="s">
        <v>68</v>
      </c>
      <c r="C31" s="15" t="s">
        <v>83</v>
      </c>
      <c r="D31" s="15">
        <v>28</v>
      </c>
      <c r="E31">
        <v>263</v>
      </c>
      <c r="F31">
        <f t="shared" si="0"/>
        <v>7364</v>
      </c>
    </row>
    <row r="32" spans="1:6" x14ac:dyDescent="0.2">
      <c r="A32" s="14">
        <v>31</v>
      </c>
      <c r="B32" s="15" t="s">
        <v>69</v>
      </c>
      <c r="C32" s="15" t="s">
        <v>82</v>
      </c>
      <c r="D32" s="15">
        <v>37</v>
      </c>
      <c r="E32">
        <v>223</v>
      </c>
      <c r="F32">
        <f t="shared" si="0"/>
        <v>8251</v>
      </c>
    </row>
    <row r="33" spans="1:6" x14ac:dyDescent="0.2">
      <c r="A33" s="14">
        <v>32</v>
      </c>
      <c r="B33" s="15" t="s">
        <v>70</v>
      </c>
      <c r="C33" s="15" t="s">
        <v>83</v>
      </c>
      <c r="D33" s="15">
        <v>34</v>
      </c>
      <c r="E33">
        <v>219</v>
      </c>
      <c r="F33">
        <f t="shared" si="0"/>
        <v>7446</v>
      </c>
    </row>
    <row r="34" spans="1:6" x14ac:dyDescent="0.2">
      <c r="A34" s="14">
        <v>33</v>
      </c>
      <c r="B34" s="15" t="s">
        <v>71</v>
      </c>
      <c r="C34" s="15" t="s">
        <v>82</v>
      </c>
      <c r="D34" s="15">
        <v>26</v>
      </c>
      <c r="E34">
        <v>249</v>
      </c>
      <c r="F34">
        <f t="shared" si="0"/>
        <v>6474</v>
      </c>
    </row>
    <row r="35" spans="1:6" x14ac:dyDescent="0.2">
      <c r="A35" s="14">
        <v>34</v>
      </c>
      <c r="B35" s="15" t="s">
        <v>72</v>
      </c>
      <c r="C35" s="15" t="s">
        <v>83</v>
      </c>
      <c r="D35" s="15">
        <v>35</v>
      </c>
      <c r="E35">
        <v>283</v>
      </c>
      <c r="F35">
        <f t="shared" si="0"/>
        <v>9905</v>
      </c>
    </row>
    <row r="36" spans="1:6" x14ac:dyDescent="0.2">
      <c r="A36" s="14">
        <v>35</v>
      </c>
      <c r="B36" s="15" t="s">
        <v>56</v>
      </c>
      <c r="C36" s="15" t="s">
        <v>82</v>
      </c>
      <c r="D36" s="15">
        <v>36</v>
      </c>
      <c r="E36">
        <v>200</v>
      </c>
      <c r="F36">
        <f t="shared" si="0"/>
        <v>7200</v>
      </c>
    </row>
    <row r="37" spans="1:6" x14ac:dyDescent="0.2">
      <c r="A37" s="14">
        <v>36</v>
      </c>
      <c r="B37" s="15" t="s">
        <v>57</v>
      </c>
      <c r="C37" s="15" t="s">
        <v>83</v>
      </c>
      <c r="D37" s="15">
        <v>29</v>
      </c>
      <c r="E37">
        <v>209</v>
      </c>
      <c r="F37">
        <f t="shared" si="0"/>
        <v>6061</v>
      </c>
    </row>
    <row r="38" spans="1:6" x14ac:dyDescent="0.2">
      <c r="A38" s="14">
        <v>37</v>
      </c>
      <c r="B38" s="15" t="s">
        <v>58</v>
      </c>
      <c r="C38" s="15" t="s">
        <v>82</v>
      </c>
      <c r="D38" s="15">
        <v>27</v>
      </c>
      <c r="E38">
        <v>279</v>
      </c>
      <c r="F38">
        <f t="shared" si="0"/>
        <v>7533</v>
      </c>
    </row>
    <row r="39" spans="1:6" x14ac:dyDescent="0.2">
      <c r="A39" s="14">
        <v>38</v>
      </c>
      <c r="B39" s="15" t="s">
        <v>59</v>
      </c>
      <c r="C39" s="15" t="s">
        <v>83</v>
      </c>
      <c r="D39" s="15">
        <v>25</v>
      </c>
      <c r="E39">
        <v>281</v>
      </c>
      <c r="F39">
        <f t="shared" si="0"/>
        <v>7025</v>
      </c>
    </row>
    <row r="40" spans="1:6" x14ac:dyDescent="0.2">
      <c r="A40" s="14">
        <v>39</v>
      </c>
      <c r="B40" s="15" t="s">
        <v>60</v>
      </c>
      <c r="C40" s="15" t="s">
        <v>82</v>
      </c>
      <c r="D40" s="15">
        <v>36</v>
      </c>
      <c r="E40">
        <v>268</v>
      </c>
      <c r="F40">
        <f t="shared" si="0"/>
        <v>9648</v>
      </c>
    </row>
    <row r="41" spans="1:6" x14ac:dyDescent="0.2">
      <c r="A41" s="14">
        <v>40</v>
      </c>
      <c r="B41" s="15" t="s">
        <v>61</v>
      </c>
      <c r="C41" s="15" t="s">
        <v>83</v>
      </c>
      <c r="D41" s="15">
        <v>37</v>
      </c>
      <c r="E41">
        <v>300</v>
      </c>
      <c r="F41">
        <f t="shared" si="0"/>
        <v>11100</v>
      </c>
    </row>
    <row r="42" spans="1:6" x14ac:dyDescent="0.2">
      <c r="A42" s="14">
        <v>41</v>
      </c>
      <c r="B42" s="15" t="s">
        <v>62</v>
      </c>
      <c r="C42" s="15" t="s">
        <v>82</v>
      </c>
      <c r="D42" s="15">
        <v>26</v>
      </c>
      <c r="E42">
        <v>274</v>
      </c>
      <c r="F42">
        <f t="shared" si="0"/>
        <v>7124</v>
      </c>
    </row>
    <row r="43" spans="1:6" x14ac:dyDescent="0.2">
      <c r="A43" s="14">
        <v>42</v>
      </c>
      <c r="B43" s="15" t="s">
        <v>63</v>
      </c>
      <c r="C43" s="15" t="s">
        <v>83</v>
      </c>
      <c r="D43" s="15">
        <v>37</v>
      </c>
      <c r="E43">
        <v>293</v>
      </c>
      <c r="F43">
        <f t="shared" si="0"/>
        <v>10841</v>
      </c>
    </row>
    <row r="44" spans="1:6" x14ac:dyDescent="0.2">
      <c r="A44" s="14">
        <v>43</v>
      </c>
      <c r="B44" s="15" t="s">
        <v>64</v>
      </c>
      <c r="C44" s="15" t="s">
        <v>82</v>
      </c>
      <c r="D44" s="15">
        <v>24</v>
      </c>
      <c r="E44">
        <v>239</v>
      </c>
      <c r="F44">
        <f t="shared" si="0"/>
        <v>5736</v>
      </c>
    </row>
    <row r="45" spans="1:6" x14ac:dyDescent="0.2">
      <c r="A45" s="14">
        <v>44</v>
      </c>
      <c r="B45" s="15" t="s">
        <v>65</v>
      </c>
      <c r="C45" s="15" t="s">
        <v>83</v>
      </c>
      <c r="D45" s="15">
        <v>39</v>
      </c>
      <c r="E45">
        <v>296</v>
      </c>
      <c r="F45">
        <f t="shared" si="0"/>
        <v>11544</v>
      </c>
    </row>
    <row r="46" spans="1:6" x14ac:dyDescent="0.2">
      <c r="A46" s="14">
        <v>45</v>
      </c>
      <c r="B46" s="15" t="s">
        <v>66</v>
      </c>
      <c r="C46" s="15" t="s">
        <v>82</v>
      </c>
      <c r="D46" s="15">
        <v>26</v>
      </c>
      <c r="E46">
        <v>277</v>
      </c>
      <c r="F46">
        <f t="shared" si="0"/>
        <v>7202</v>
      </c>
    </row>
    <row r="47" spans="1:6" x14ac:dyDescent="0.2">
      <c r="A47" s="14">
        <v>46</v>
      </c>
      <c r="B47" s="15" t="s">
        <v>67</v>
      </c>
      <c r="C47" s="15" t="s">
        <v>83</v>
      </c>
      <c r="D47" s="15">
        <v>34</v>
      </c>
      <c r="E47">
        <v>252</v>
      </c>
      <c r="F47">
        <f t="shared" si="0"/>
        <v>8568</v>
      </c>
    </row>
    <row r="48" spans="1:6" x14ac:dyDescent="0.2">
      <c r="A48" s="14">
        <v>47</v>
      </c>
      <c r="B48" s="15" t="s">
        <v>68</v>
      </c>
      <c r="C48" s="15" t="s">
        <v>82</v>
      </c>
      <c r="D48" s="15">
        <v>28</v>
      </c>
      <c r="E48">
        <v>291</v>
      </c>
      <c r="F48">
        <f t="shared" si="0"/>
        <v>8148</v>
      </c>
    </row>
    <row r="49" spans="1:6" x14ac:dyDescent="0.2">
      <c r="A49" s="14">
        <v>48</v>
      </c>
      <c r="B49" s="15" t="s">
        <v>69</v>
      </c>
      <c r="C49" s="15" t="s">
        <v>83</v>
      </c>
      <c r="D49" s="15">
        <v>32</v>
      </c>
      <c r="E49">
        <v>207</v>
      </c>
      <c r="F49">
        <f t="shared" si="0"/>
        <v>6624</v>
      </c>
    </row>
    <row r="50" spans="1:6" x14ac:dyDescent="0.2">
      <c r="A50" s="14">
        <v>49</v>
      </c>
      <c r="B50" s="15" t="s">
        <v>70</v>
      </c>
      <c r="C50" s="15" t="s">
        <v>82</v>
      </c>
      <c r="D50" s="15">
        <v>39</v>
      </c>
      <c r="E50">
        <v>211</v>
      </c>
      <c r="F50">
        <f t="shared" si="0"/>
        <v>8229</v>
      </c>
    </row>
    <row r="51" spans="1:6" x14ac:dyDescent="0.2">
      <c r="A51" s="14">
        <v>50</v>
      </c>
      <c r="B51" s="15" t="s">
        <v>71</v>
      </c>
      <c r="C51" s="15" t="s">
        <v>83</v>
      </c>
      <c r="D51" s="15">
        <v>29</v>
      </c>
      <c r="E51">
        <v>235</v>
      </c>
      <c r="F51">
        <f t="shared" si="0"/>
        <v>6815</v>
      </c>
    </row>
    <row r="52" spans="1:6" x14ac:dyDescent="0.2">
      <c r="A52" s="14">
        <v>51</v>
      </c>
      <c r="B52" s="15" t="s">
        <v>72</v>
      </c>
      <c r="C52" s="15" t="s">
        <v>82</v>
      </c>
      <c r="D52" s="15">
        <v>32</v>
      </c>
      <c r="E52">
        <v>206</v>
      </c>
      <c r="F52">
        <f t="shared" si="0"/>
        <v>6592</v>
      </c>
    </row>
    <row r="53" spans="1:6" x14ac:dyDescent="0.2">
      <c r="A53" s="14">
        <v>52</v>
      </c>
      <c r="B53" s="15" t="s">
        <v>56</v>
      </c>
      <c r="C53" s="15" t="s">
        <v>83</v>
      </c>
      <c r="D53" s="15">
        <v>25</v>
      </c>
      <c r="E53">
        <v>284</v>
      </c>
      <c r="F53">
        <f t="shared" si="0"/>
        <v>7100</v>
      </c>
    </row>
    <row r="54" spans="1:6" x14ac:dyDescent="0.2">
      <c r="A54" s="14">
        <v>53</v>
      </c>
      <c r="B54" s="15" t="s">
        <v>57</v>
      </c>
      <c r="C54" s="15" t="s">
        <v>82</v>
      </c>
      <c r="D54" s="15">
        <v>36</v>
      </c>
      <c r="E54">
        <v>298</v>
      </c>
      <c r="F54">
        <f t="shared" si="0"/>
        <v>10728</v>
      </c>
    </row>
    <row r="55" spans="1:6" x14ac:dyDescent="0.2">
      <c r="A55" s="14">
        <v>54</v>
      </c>
      <c r="B55" s="15" t="s">
        <v>58</v>
      </c>
      <c r="C55" s="15" t="s">
        <v>83</v>
      </c>
      <c r="D55" s="15">
        <v>25</v>
      </c>
      <c r="E55">
        <v>243</v>
      </c>
      <c r="F55">
        <f t="shared" si="0"/>
        <v>6075</v>
      </c>
    </row>
    <row r="56" spans="1:6" x14ac:dyDescent="0.2">
      <c r="A56" s="14">
        <v>55</v>
      </c>
      <c r="B56" s="15" t="s">
        <v>59</v>
      </c>
      <c r="C56" s="15" t="s">
        <v>82</v>
      </c>
      <c r="D56" s="15">
        <v>58</v>
      </c>
      <c r="E56">
        <v>298</v>
      </c>
      <c r="F56">
        <f t="shared" si="0"/>
        <v>17284</v>
      </c>
    </row>
    <row r="57" spans="1:6" x14ac:dyDescent="0.2">
      <c r="A57" s="14">
        <v>56</v>
      </c>
      <c r="B57" s="15" t="s">
        <v>60</v>
      </c>
      <c r="C57" s="15" t="s">
        <v>83</v>
      </c>
      <c r="D57" s="15">
        <v>24</v>
      </c>
      <c r="E57">
        <v>273</v>
      </c>
      <c r="F57">
        <f t="shared" si="0"/>
        <v>6552</v>
      </c>
    </row>
    <row r="58" spans="1:6" x14ac:dyDescent="0.2">
      <c r="A58" s="14">
        <v>57</v>
      </c>
      <c r="B58" s="15" t="s">
        <v>61</v>
      </c>
      <c r="C58" s="15" t="s">
        <v>82</v>
      </c>
      <c r="D58" s="15">
        <v>56</v>
      </c>
      <c r="E58">
        <v>236</v>
      </c>
      <c r="F58">
        <f t="shared" si="0"/>
        <v>13216</v>
      </c>
    </row>
    <row r="59" spans="1:6" x14ac:dyDescent="0.2">
      <c r="A59" s="14">
        <v>58</v>
      </c>
      <c r="B59" s="15" t="s">
        <v>62</v>
      </c>
      <c r="C59" s="15" t="s">
        <v>83</v>
      </c>
      <c r="D59" s="15">
        <v>27</v>
      </c>
      <c r="E59">
        <v>272</v>
      </c>
      <c r="F59">
        <f t="shared" si="0"/>
        <v>7344</v>
      </c>
    </row>
    <row r="60" spans="1:6" x14ac:dyDescent="0.2">
      <c r="A60" s="14">
        <v>59</v>
      </c>
      <c r="B60" s="15" t="s">
        <v>63</v>
      </c>
      <c r="C60" s="15" t="s">
        <v>82</v>
      </c>
      <c r="D60" s="15">
        <v>40</v>
      </c>
      <c r="E60">
        <v>264</v>
      </c>
      <c r="F60">
        <f t="shared" si="0"/>
        <v>10560</v>
      </c>
    </row>
    <row r="61" spans="1:6" x14ac:dyDescent="0.2">
      <c r="A61" s="14">
        <v>60</v>
      </c>
      <c r="B61" s="15" t="s">
        <v>64</v>
      </c>
      <c r="C61" s="15" t="s">
        <v>83</v>
      </c>
      <c r="D61" s="15">
        <v>28</v>
      </c>
      <c r="E61">
        <v>285</v>
      </c>
      <c r="F61">
        <f t="shared" si="0"/>
        <v>7980</v>
      </c>
    </row>
    <row r="62" spans="1:6" x14ac:dyDescent="0.2">
      <c r="A62" s="14">
        <v>61</v>
      </c>
      <c r="B62" s="15" t="s">
        <v>65</v>
      </c>
      <c r="C62" s="15" t="s">
        <v>82</v>
      </c>
      <c r="D62" s="15">
        <v>39</v>
      </c>
      <c r="E62">
        <v>235</v>
      </c>
      <c r="F62">
        <f t="shared" si="0"/>
        <v>9165</v>
      </c>
    </row>
    <row r="63" spans="1:6" x14ac:dyDescent="0.2">
      <c r="A63" s="14">
        <v>62</v>
      </c>
      <c r="B63" s="15" t="s">
        <v>66</v>
      </c>
      <c r="C63" s="15" t="s">
        <v>83</v>
      </c>
      <c r="D63" s="15">
        <v>38</v>
      </c>
      <c r="E63">
        <v>265</v>
      </c>
      <c r="F63">
        <f t="shared" si="0"/>
        <v>10070</v>
      </c>
    </row>
    <row r="64" spans="1:6" x14ac:dyDescent="0.2">
      <c r="A64" s="14">
        <v>63</v>
      </c>
      <c r="B64" s="15" t="s">
        <v>67</v>
      </c>
      <c r="C64" s="15" t="s">
        <v>82</v>
      </c>
      <c r="D64" s="15">
        <v>32</v>
      </c>
      <c r="E64">
        <v>212</v>
      </c>
      <c r="F64">
        <f t="shared" si="0"/>
        <v>6784</v>
      </c>
    </row>
    <row r="65" spans="1:6" x14ac:dyDescent="0.2">
      <c r="A65" s="14">
        <v>64</v>
      </c>
      <c r="B65" s="15" t="s">
        <v>68</v>
      </c>
      <c r="C65" s="15" t="s">
        <v>83</v>
      </c>
      <c r="D65" s="15">
        <v>26</v>
      </c>
      <c r="E65">
        <v>265</v>
      </c>
      <c r="F65">
        <f t="shared" si="0"/>
        <v>6890</v>
      </c>
    </row>
    <row r="66" spans="1:6" x14ac:dyDescent="0.2">
      <c r="A66" s="14">
        <v>65</v>
      </c>
      <c r="B66" s="15" t="s">
        <v>69</v>
      </c>
      <c r="C66" s="15" t="s">
        <v>82</v>
      </c>
      <c r="D66" s="15">
        <v>31</v>
      </c>
      <c r="E66">
        <v>285</v>
      </c>
      <c r="F66">
        <f t="shared" si="0"/>
        <v>8835</v>
      </c>
    </row>
    <row r="67" spans="1:6" x14ac:dyDescent="0.2">
      <c r="A67" s="14">
        <v>66</v>
      </c>
      <c r="B67" s="15" t="s">
        <v>70</v>
      </c>
      <c r="C67" s="15" t="s">
        <v>83</v>
      </c>
      <c r="D67" s="15">
        <v>24</v>
      </c>
      <c r="E67">
        <v>266</v>
      </c>
      <c r="F67">
        <f t="shared" ref="F67:F101" si="1">D67*E67</f>
        <v>6384</v>
      </c>
    </row>
    <row r="68" spans="1:6" x14ac:dyDescent="0.2">
      <c r="A68" s="14">
        <v>67</v>
      </c>
      <c r="B68" s="15" t="s">
        <v>71</v>
      </c>
      <c r="C68" s="15" t="s">
        <v>82</v>
      </c>
      <c r="D68" s="15">
        <v>39</v>
      </c>
      <c r="E68">
        <v>266</v>
      </c>
      <c r="F68">
        <f t="shared" si="1"/>
        <v>10374</v>
      </c>
    </row>
    <row r="69" spans="1:6" x14ac:dyDescent="0.2">
      <c r="A69" s="14">
        <v>68</v>
      </c>
      <c r="B69" s="15" t="s">
        <v>72</v>
      </c>
      <c r="C69" s="15" t="s">
        <v>83</v>
      </c>
      <c r="D69" s="15">
        <v>28</v>
      </c>
      <c r="E69">
        <v>241</v>
      </c>
      <c r="F69">
        <f t="shared" si="1"/>
        <v>6748</v>
      </c>
    </row>
    <row r="70" spans="1:6" x14ac:dyDescent="0.2">
      <c r="A70" s="14">
        <v>69</v>
      </c>
      <c r="B70" s="15" t="s">
        <v>56</v>
      </c>
      <c r="C70" s="15" t="s">
        <v>82</v>
      </c>
      <c r="D70" s="15">
        <v>26</v>
      </c>
      <c r="E70">
        <v>287</v>
      </c>
      <c r="F70">
        <f t="shared" si="1"/>
        <v>7462</v>
      </c>
    </row>
    <row r="71" spans="1:6" x14ac:dyDescent="0.2">
      <c r="A71" s="14">
        <v>70</v>
      </c>
      <c r="B71" s="15" t="s">
        <v>57</v>
      </c>
      <c r="C71" s="15" t="s">
        <v>83</v>
      </c>
      <c r="D71" s="15">
        <v>46</v>
      </c>
      <c r="E71">
        <v>260</v>
      </c>
      <c r="F71">
        <f t="shared" si="1"/>
        <v>11960</v>
      </c>
    </row>
    <row r="72" spans="1:6" x14ac:dyDescent="0.2">
      <c r="A72" s="14">
        <v>71</v>
      </c>
      <c r="B72" s="15" t="s">
        <v>58</v>
      </c>
      <c r="C72" s="15" t="s">
        <v>82</v>
      </c>
      <c r="D72" s="15">
        <v>37</v>
      </c>
      <c r="E72">
        <v>261</v>
      </c>
      <c r="F72">
        <f t="shared" si="1"/>
        <v>9657</v>
      </c>
    </row>
    <row r="73" spans="1:6" x14ac:dyDescent="0.2">
      <c r="A73" s="14">
        <v>72</v>
      </c>
      <c r="B73" s="15" t="s">
        <v>59</v>
      </c>
      <c r="C73" s="15" t="s">
        <v>83</v>
      </c>
      <c r="D73" s="15">
        <v>52</v>
      </c>
      <c r="E73">
        <v>293</v>
      </c>
      <c r="F73">
        <f t="shared" si="1"/>
        <v>15236</v>
      </c>
    </row>
    <row r="74" spans="1:6" x14ac:dyDescent="0.2">
      <c r="A74" s="14">
        <v>73</v>
      </c>
      <c r="B74" s="15" t="s">
        <v>60</v>
      </c>
      <c r="C74" s="15" t="s">
        <v>82</v>
      </c>
      <c r="D74" s="15">
        <v>46</v>
      </c>
      <c r="E74">
        <v>213</v>
      </c>
      <c r="F74">
        <f t="shared" si="1"/>
        <v>9798</v>
      </c>
    </row>
    <row r="75" spans="1:6" x14ac:dyDescent="0.2">
      <c r="A75" s="14">
        <v>74</v>
      </c>
      <c r="B75" s="15" t="s">
        <v>61</v>
      </c>
      <c r="C75" s="15" t="s">
        <v>83</v>
      </c>
      <c r="D75" s="15">
        <v>42</v>
      </c>
      <c r="E75">
        <v>297</v>
      </c>
      <c r="F75">
        <f t="shared" si="1"/>
        <v>12474</v>
      </c>
    </row>
    <row r="76" spans="1:6" x14ac:dyDescent="0.2">
      <c r="A76" s="14">
        <v>75</v>
      </c>
      <c r="B76" s="15" t="s">
        <v>62</v>
      </c>
      <c r="C76" s="15" t="s">
        <v>82</v>
      </c>
      <c r="D76" s="15">
        <v>21</v>
      </c>
      <c r="E76">
        <v>213</v>
      </c>
      <c r="F76">
        <f t="shared" si="1"/>
        <v>4473</v>
      </c>
    </row>
    <row r="77" spans="1:6" x14ac:dyDescent="0.2">
      <c r="A77" s="14">
        <v>76</v>
      </c>
      <c r="B77" s="15" t="s">
        <v>63</v>
      </c>
      <c r="C77" s="15" t="s">
        <v>83</v>
      </c>
      <c r="D77" s="15">
        <v>28</v>
      </c>
      <c r="E77">
        <v>213</v>
      </c>
      <c r="F77">
        <f t="shared" si="1"/>
        <v>5964</v>
      </c>
    </row>
    <row r="78" spans="1:6" x14ac:dyDescent="0.2">
      <c r="A78" s="14">
        <v>77</v>
      </c>
      <c r="B78" s="15" t="s">
        <v>64</v>
      </c>
      <c r="C78" s="15" t="s">
        <v>82</v>
      </c>
      <c r="D78" s="15">
        <v>29</v>
      </c>
      <c r="E78">
        <v>280</v>
      </c>
      <c r="F78">
        <f t="shared" si="1"/>
        <v>8120</v>
      </c>
    </row>
    <row r="79" spans="1:6" x14ac:dyDescent="0.2">
      <c r="A79" s="14">
        <v>78</v>
      </c>
      <c r="B79" s="15" t="s">
        <v>65</v>
      </c>
      <c r="C79" s="15" t="s">
        <v>83</v>
      </c>
      <c r="D79" s="15">
        <v>23</v>
      </c>
      <c r="E79">
        <v>235</v>
      </c>
      <c r="F79">
        <f t="shared" si="1"/>
        <v>5405</v>
      </c>
    </row>
    <row r="80" spans="1:6" x14ac:dyDescent="0.2">
      <c r="A80" s="14">
        <v>79</v>
      </c>
      <c r="B80" s="15" t="s">
        <v>66</v>
      </c>
      <c r="C80" s="15" t="s">
        <v>82</v>
      </c>
      <c r="D80" s="15">
        <v>41</v>
      </c>
      <c r="E80">
        <v>265</v>
      </c>
      <c r="F80">
        <f t="shared" si="1"/>
        <v>10865</v>
      </c>
    </row>
    <row r="81" spans="1:6" x14ac:dyDescent="0.2">
      <c r="A81" s="14">
        <v>80</v>
      </c>
      <c r="B81" s="15" t="s">
        <v>67</v>
      </c>
      <c r="C81" s="15" t="s">
        <v>83</v>
      </c>
      <c r="D81" s="15">
        <v>28</v>
      </c>
      <c r="E81">
        <v>251</v>
      </c>
      <c r="F81">
        <f t="shared" si="1"/>
        <v>7028</v>
      </c>
    </row>
    <row r="82" spans="1:6" x14ac:dyDescent="0.2">
      <c r="A82" s="14">
        <v>81</v>
      </c>
      <c r="B82" s="15" t="s">
        <v>68</v>
      </c>
      <c r="C82" s="15" t="s">
        <v>82</v>
      </c>
      <c r="D82" s="15">
        <v>37</v>
      </c>
      <c r="E82">
        <v>283</v>
      </c>
      <c r="F82">
        <f t="shared" si="1"/>
        <v>10471</v>
      </c>
    </row>
    <row r="83" spans="1:6" x14ac:dyDescent="0.2">
      <c r="A83" s="14">
        <v>82</v>
      </c>
      <c r="B83" s="15" t="s">
        <v>69</v>
      </c>
      <c r="C83" s="15" t="s">
        <v>83</v>
      </c>
      <c r="D83" s="15">
        <v>34</v>
      </c>
      <c r="E83">
        <v>262</v>
      </c>
      <c r="F83">
        <f t="shared" si="1"/>
        <v>8908</v>
      </c>
    </row>
    <row r="84" spans="1:6" x14ac:dyDescent="0.2">
      <c r="A84" s="14">
        <v>83</v>
      </c>
      <c r="B84" s="15" t="s">
        <v>70</v>
      </c>
      <c r="C84" s="15" t="s">
        <v>82</v>
      </c>
      <c r="D84" s="15">
        <v>26</v>
      </c>
      <c r="E84">
        <v>267</v>
      </c>
      <c r="F84">
        <f t="shared" si="1"/>
        <v>6942</v>
      </c>
    </row>
    <row r="85" spans="1:6" x14ac:dyDescent="0.2">
      <c r="A85" s="14">
        <v>84</v>
      </c>
      <c r="B85" s="15" t="s">
        <v>71</v>
      </c>
      <c r="C85" s="15" t="s">
        <v>83</v>
      </c>
      <c r="D85" s="15">
        <v>35</v>
      </c>
      <c r="E85">
        <v>300</v>
      </c>
      <c r="F85">
        <f t="shared" si="1"/>
        <v>10500</v>
      </c>
    </row>
    <row r="86" spans="1:6" x14ac:dyDescent="0.2">
      <c r="A86" s="14">
        <v>85</v>
      </c>
      <c r="B86" s="15" t="s">
        <v>72</v>
      </c>
      <c r="C86" s="15" t="s">
        <v>82</v>
      </c>
      <c r="D86" s="15">
        <v>36</v>
      </c>
      <c r="E86">
        <v>269</v>
      </c>
      <c r="F86">
        <f t="shared" si="1"/>
        <v>9684</v>
      </c>
    </row>
    <row r="87" spans="1:6" x14ac:dyDescent="0.2">
      <c r="A87" s="14">
        <v>86</v>
      </c>
      <c r="B87" s="15" t="s">
        <v>56</v>
      </c>
      <c r="C87" s="15" t="s">
        <v>83</v>
      </c>
      <c r="D87" s="15">
        <v>29</v>
      </c>
      <c r="E87">
        <v>257</v>
      </c>
      <c r="F87">
        <f t="shared" si="1"/>
        <v>7453</v>
      </c>
    </row>
    <row r="88" spans="1:6" x14ac:dyDescent="0.2">
      <c r="A88" s="14">
        <v>87</v>
      </c>
      <c r="B88" s="15" t="s">
        <v>57</v>
      </c>
      <c r="C88" s="15" t="s">
        <v>82</v>
      </c>
      <c r="D88" s="15">
        <v>27</v>
      </c>
      <c r="E88">
        <v>294</v>
      </c>
      <c r="F88">
        <f t="shared" si="1"/>
        <v>7938</v>
      </c>
    </row>
    <row r="89" spans="1:6" x14ac:dyDescent="0.2">
      <c r="A89" s="14">
        <v>88</v>
      </c>
      <c r="B89" s="15" t="s">
        <v>58</v>
      </c>
      <c r="C89" s="15" t="s">
        <v>83</v>
      </c>
      <c r="D89" s="15">
        <v>25</v>
      </c>
      <c r="E89">
        <v>273</v>
      </c>
      <c r="F89">
        <f t="shared" si="1"/>
        <v>6825</v>
      </c>
    </row>
    <row r="90" spans="1:6" x14ac:dyDescent="0.2">
      <c r="A90" s="14">
        <v>89</v>
      </c>
      <c r="B90" s="15" t="s">
        <v>59</v>
      </c>
      <c r="C90" s="15" t="s">
        <v>82</v>
      </c>
      <c r="D90" s="15">
        <v>36</v>
      </c>
      <c r="E90">
        <v>272</v>
      </c>
      <c r="F90">
        <f t="shared" si="1"/>
        <v>9792</v>
      </c>
    </row>
    <row r="91" spans="1:6" x14ac:dyDescent="0.2">
      <c r="A91" s="14">
        <v>90</v>
      </c>
      <c r="B91" s="15" t="s">
        <v>60</v>
      </c>
      <c r="C91" s="15" t="s">
        <v>83</v>
      </c>
      <c r="D91" s="15">
        <v>37</v>
      </c>
      <c r="E91">
        <v>227</v>
      </c>
      <c r="F91">
        <f t="shared" si="1"/>
        <v>8399</v>
      </c>
    </row>
    <row r="92" spans="1:6" x14ac:dyDescent="0.2">
      <c r="A92" s="14">
        <v>91</v>
      </c>
      <c r="B92" s="15" t="s">
        <v>61</v>
      </c>
      <c r="C92" s="15" t="s">
        <v>82</v>
      </c>
      <c r="D92" s="15">
        <v>26</v>
      </c>
      <c r="E92">
        <v>239</v>
      </c>
      <c r="F92">
        <f t="shared" si="1"/>
        <v>6214</v>
      </c>
    </row>
    <row r="93" spans="1:6" x14ac:dyDescent="0.2">
      <c r="A93" s="14">
        <v>92</v>
      </c>
      <c r="B93" s="15" t="s">
        <v>62</v>
      </c>
      <c r="C93" s="15" t="s">
        <v>83</v>
      </c>
      <c r="D93" s="15">
        <v>37</v>
      </c>
      <c r="E93">
        <v>289</v>
      </c>
      <c r="F93">
        <f t="shared" si="1"/>
        <v>10693</v>
      </c>
    </row>
    <row r="94" spans="1:6" x14ac:dyDescent="0.2">
      <c r="A94" s="14">
        <v>93</v>
      </c>
      <c r="B94" s="15" t="s">
        <v>63</v>
      </c>
      <c r="C94" s="15" t="s">
        <v>82</v>
      </c>
      <c r="D94" s="15">
        <v>24</v>
      </c>
      <c r="E94">
        <v>205</v>
      </c>
      <c r="F94">
        <f t="shared" si="1"/>
        <v>4920</v>
      </c>
    </row>
    <row r="95" spans="1:6" x14ac:dyDescent="0.2">
      <c r="A95" s="14">
        <v>94</v>
      </c>
      <c r="B95" s="15" t="s">
        <v>64</v>
      </c>
      <c r="C95" s="15" t="s">
        <v>83</v>
      </c>
      <c r="D95" s="15">
        <v>39</v>
      </c>
      <c r="E95">
        <v>235</v>
      </c>
      <c r="F95">
        <f t="shared" si="1"/>
        <v>9165</v>
      </c>
    </row>
    <row r="96" spans="1:6" x14ac:dyDescent="0.2">
      <c r="A96" s="14">
        <v>95</v>
      </c>
      <c r="B96" s="15" t="s">
        <v>65</v>
      </c>
      <c r="C96" s="15" t="s">
        <v>82</v>
      </c>
      <c r="D96" s="15">
        <v>26</v>
      </c>
      <c r="E96">
        <v>216</v>
      </c>
      <c r="F96">
        <f t="shared" si="1"/>
        <v>5616</v>
      </c>
    </row>
    <row r="97" spans="1:6" x14ac:dyDescent="0.2">
      <c r="A97" s="14">
        <v>96</v>
      </c>
      <c r="B97" s="15" t="s">
        <v>66</v>
      </c>
      <c r="C97" s="15" t="s">
        <v>83</v>
      </c>
      <c r="D97" s="15">
        <v>34</v>
      </c>
      <c r="E97">
        <v>283</v>
      </c>
      <c r="F97">
        <f t="shared" si="1"/>
        <v>9622</v>
      </c>
    </row>
    <row r="98" spans="1:6" x14ac:dyDescent="0.2">
      <c r="A98" s="14">
        <v>97</v>
      </c>
      <c r="B98" s="15" t="s">
        <v>67</v>
      </c>
      <c r="C98" s="15" t="s">
        <v>82</v>
      </c>
      <c r="D98" s="15">
        <v>28</v>
      </c>
      <c r="E98">
        <v>257</v>
      </c>
      <c r="F98">
        <f t="shared" si="1"/>
        <v>7196</v>
      </c>
    </row>
    <row r="99" spans="1:6" x14ac:dyDescent="0.2">
      <c r="A99" s="14">
        <v>98</v>
      </c>
      <c r="B99" s="15" t="s">
        <v>68</v>
      </c>
      <c r="C99" s="15" t="s">
        <v>83</v>
      </c>
      <c r="D99" s="15">
        <v>32</v>
      </c>
      <c r="E99">
        <v>209</v>
      </c>
      <c r="F99">
        <f t="shared" si="1"/>
        <v>6688</v>
      </c>
    </row>
    <row r="100" spans="1:6" x14ac:dyDescent="0.2">
      <c r="A100" s="14">
        <v>99</v>
      </c>
      <c r="B100" s="15" t="s">
        <v>69</v>
      </c>
      <c r="C100" s="15" t="s">
        <v>82</v>
      </c>
      <c r="D100" s="15">
        <v>39</v>
      </c>
      <c r="E100">
        <v>209</v>
      </c>
      <c r="F100">
        <f t="shared" si="1"/>
        <v>8151</v>
      </c>
    </row>
    <row r="101" spans="1:6" x14ac:dyDescent="0.2">
      <c r="A101" s="14">
        <v>100</v>
      </c>
      <c r="B101" s="15" t="s">
        <v>70</v>
      </c>
      <c r="C101" s="15" t="s">
        <v>83</v>
      </c>
      <c r="D101" s="15">
        <v>29</v>
      </c>
      <c r="E101">
        <v>253</v>
      </c>
      <c r="F101">
        <f t="shared" si="1"/>
        <v>7337</v>
      </c>
    </row>
    <row r="102" spans="1:6" x14ac:dyDescent="0.2">
      <c r="A102" s="11"/>
    </row>
    <row r="103" spans="1:6" x14ac:dyDescent="0.2">
      <c r="A103" s="11"/>
    </row>
    <row r="104" spans="1:6" x14ac:dyDescent="0.2">
      <c r="A104" s="11"/>
    </row>
    <row r="105" spans="1:6" x14ac:dyDescent="0.2">
      <c r="A105" s="11"/>
    </row>
    <row r="106" spans="1:6" x14ac:dyDescent="0.2">
      <c r="A106" s="11"/>
    </row>
    <row r="107" spans="1:6" x14ac:dyDescent="0.2">
      <c r="A107" s="11"/>
    </row>
  </sheetData>
  <printOptions headings="1"/>
  <pageMargins left="0.7" right="0.22" top="0.56999999999999995" bottom="0.75" header="0.3" footer="0.3"/>
  <pageSetup paperSize="9" scale="61" fitToWidth="0" fitToHeight="0"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107"/>
  <sheetViews>
    <sheetView topLeftCell="D1" zoomScale="160" zoomScaleNormal="160" workbookViewId="0">
      <selection activeCell="J10" sqref="J10"/>
    </sheetView>
  </sheetViews>
  <sheetFormatPr defaultRowHeight="14.25" x14ac:dyDescent="0.2"/>
  <cols>
    <col min="1" max="1" width="5.75" style="12" bestFit="1" customWidth="1"/>
    <col min="2" max="2" width="19.125" customWidth="1"/>
    <col min="3" max="3" width="11.625" customWidth="1"/>
    <col min="4" max="4" width="7.5" customWidth="1"/>
  </cols>
  <sheetData>
    <row r="1" spans="1:10" x14ac:dyDescent="0.2">
      <c r="A1" s="13" t="s">
        <v>55</v>
      </c>
      <c r="B1" s="13" t="s">
        <v>73</v>
      </c>
      <c r="C1" s="13" t="s">
        <v>81</v>
      </c>
      <c r="D1" s="13" t="s">
        <v>84</v>
      </c>
      <c r="E1" s="19" t="s">
        <v>85</v>
      </c>
      <c r="F1" s="19" t="s">
        <v>86</v>
      </c>
    </row>
    <row r="2" spans="1:10" x14ac:dyDescent="0.2">
      <c r="A2" s="14">
        <v>1</v>
      </c>
      <c r="B2" s="15" t="s">
        <v>56</v>
      </c>
      <c r="C2" s="15" t="s">
        <v>82</v>
      </c>
      <c r="D2" s="15">
        <v>32</v>
      </c>
      <c r="E2">
        <v>293</v>
      </c>
      <c r="F2">
        <f>D2*E2</f>
        <v>9376</v>
      </c>
    </row>
    <row r="3" spans="1:10" x14ac:dyDescent="0.2">
      <c r="A3" s="14">
        <v>2</v>
      </c>
      <c r="B3" s="15" t="s">
        <v>57</v>
      </c>
      <c r="C3" s="15" t="s">
        <v>83</v>
      </c>
      <c r="D3" s="15">
        <v>25</v>
      </c>
      <c r="E3">
        <v>294</v>
      </c>
      <c r="F3">
        <f>D3*E3</f>
        <v>7350</v>
      </c>
      <c r="H3">
        <v>50</v>
      </c>
      <c r="I3">
        <v>10</v>
      </c>
      <c r="J3">
        <f>H3*$I$3</f>
        <v>500</v>
      </c>
    </row>
    <row r="4" spans="1:10" x14ac:dyDescent="0.2">
      <c r="A4" s="14">
        <v>3</v>
      </c>
      <c r="B4" s="15" t="s">
        <v>58</v>
      </c>
      <c r="C4" s="15" t="s">
        <v>82</v>
      </c>
      <c r="D4" s="15">
        <v>36</v>
      </c>
      <c r="E4">
        <v>215</v>
      </c>
      <c r="F4">
        <f>D4*E4</f>
        <v>7740</v>
      </c>
      <c r="H4">
        <v>45</v>
      </c>
      <c r="J4">
        <f t="shared" ref="J4:J7" si="0">H4*$I$3</f>
        <v>450</v>
      </c>
    </row>
    <row r="5" spans="1:10" x14ac:dyDescent="0.2">
      <c r="A5" s="14">
        <v>4</v>
      </c>
      <c r="B5" s="15" t="s">
        <v>59</v>
      </c>
      <c r="C5" s="15" t="s">
        <v>83</v>
      </c>
      <c r="D5" s="15">
        <v>25</v>
      </c>
      <c r="E5">
        <v>234</v>
      </c>
      <c r="F5" t="e">
        <f>D5*E5+F1</f>
        <v>#VALUE!</v>
      </c>
      <c r="H5">
        <v>20</v>
      </c>
      <c r="J5">
        <f t="shared" si="0"/>
        <v>200</v>
      </c>
    </row>
    <row r="6" spans="1:10" x14ac:dyDescent="0.2">
      <c r="A6" s="14">
        <v>5</v>
      </c>
      <c r="B6" s="15" t="s">
        <v>60</v>
      </c>
      <c r="C6" s="15" t="s">
        <v>82</v>
      </c>
      <c r="D6" s="15">
        <v>58</v>
      </c>
      <c r="E6">
        <v>211</v>
      </c>
      <c r="F6">
        <f t="shared" ref="F6:F66" si="1">D6*E6</f>
        <v>12238</v>
      </c>
      <c r="H6">
        <v>30</v>
      </c>
      <c r="J6">
        <f t="shared" si="0"/>
        <v>300</v>
      </c>
    </row>
    <row r="7" spans="1:10" x14ac:dyDescent="0.2">
      <c r="A7" s="14">
        <v>6</v>
      </c>
      <c r="B7" s="15" t="s">
        <v>61</v>
      </c>
      <c r="C7" s="15" t="s">
        <v>83</v>
      </c>
      <c r="D7" s="15">
        <v>24</v>
      </c>
      <c r="E7">
        <v>286</v>
      </c>
      <c r="F7">
        <f t="shared" si="1"/>
        <v>6864</v>
      </c>
      <c r="H7">
        <v>35</v>
      </c>
      <c r="J7">
        <f t="shared" si="0"/>
        <v>350</v>
      </c>
    </row>
    <row r="8" spans="1:10" x14ac:dyDescent="0.2">
      <c r="A8" s="14">
        <v>7</v>
      </c>
      <c r="B8" s="15" t="s">
        <v>62</v>
      </c>
      <c r="C8" s="15" t="s">
        <v>82</v>
      </c>
      <c r="D8" s="15">
        <v>56</v>
      </c>
      <c r="E8">
        <v>236</v>
      </c>
      <c r="F8">
        <f t="shared" si="1"/>
        <v>13216</v>
      </c>
    </row>
    <row r="9" spans="1:10" x14ac:dyDescent="0.2">
      <c r="A9" s="14">
        <v>8</v>
      </c>
      <c r="B9" s="15" t="s">
        <v>63</v>
      </c>
      <c r="C9" s="15" t="s">
        <v>83</v>
      </c>
      <c r="D9" s="15">
        <v>27</v>
      </c>
      <c r="E9">
        <v>243</v>
      </c>
      <c r="F9">
        <f t="shared" si="1"/>
        <v>6561</v>
      </c>
    </row>
    <row r="10" spans="1:10" x14ac:dyDescent="0.2">
      <c r="A10" s="14">
        <v>9</v>
      </c>
      <c r="B10" s="15" t="s">
        <v>64</v>
      </c>
      <c r="C10" s="15" t="s">
        <v>82</v>
      </c>
      <c r="D10" s="15">
        <v>40</v>
      </c>
      <c r="E10">
        <v>219</v>
      </c>
      <c r="F10">
        <f t="shared" si="1"/>
        <v>8760</v>
      </c>
      <c r="J10">
        <f>J7+J6+J4</f>
        <v>1100</v>
      </c>
    </row>
    <row r="11" spans="1:10" x14ac:dyDescent="0.2">
      <c r="A11" s="14">
        <v>10</v>
      </c>
      <c r="B11" s="15" t="s">
        <v>65</v>
      </c>
      <c r="C11" s="15" t="s">
        <v>83</v>
      </c>
      <c r="D11" s="15">
        <v>28</v>
      </c>
      <c r="E11">
        <v>242</v>
      </c>
      <c r="F11">
        <f t="shared" si="1"/>
        <v>6776</v>
      </c>
    </row>
    <row r="12" spans="1:10" x14ac:dyDescent="0.2">
      <c r="A12" s="14">
        <v>11</v>
      </c>
      <c r="B12" s="15" t="s">
        <v>66</v>
      </c>
      <c r="C12" s="15" t="s">
        <v>82</v>
      </c>
      <c r="D12" s="15">
        <v>39</v>
      </c>
      <c r="E12">
        <v>251</v>
      </c>
      <c r="F12">
        <f t="shared" si="1"/>
        <v>9789</v>
      </c>
    </row>
    <row r="13" spans="1:10" x14ac:dyDescent="0.2">
      <c r="A13" s="14">
        <v>12</v>
      </c>
      <c r="B13" s="15" t="s">
        <v>67</v>
      </c>
      <c r="C13" s="15" t="s">
        <v>83</v>
      </c>
      <c r="D13" s="15">
        <v>38</v>
      </c>
      <c r="E13">
        <v>248</v>
      </c>
      <c r="F13">
        <f t="shared" si="1"/>
        <v>9424</v>
      </c>
    </row>
    <row r="14" spans="1:10" x14ac:dyDescent="0.2">
      <c r="A14" s="14">
        <v>13</v>
      </c>
      <c r="B14" s="15" t="s">
        <v>68</v>
      </c>
      <c r="C14" s="15" t="s">
        <v>82</v>
      </c>
      <c r="D14" s="15">
        <v>32</v>
      </c>
      <c r="E14">
        <v>230</v>
      </c>
      <c r="F14">
        <f t="shared" si="1"/>
        <v>7360</v>
      </c>
    </row>
    <row r="15" spans="1:10" x14ac:dyDescent="0.2">
      <c r="A15" s="14">
        <v>14</v>
      </c>
      <c r="B15" s="15" t="s">
        <v>69</v>
      </c>
      <c r="C15" s="15" t="s">
        <v>83</v>
      </c>
      <c r="D15" s="15">
        <v>26</v>
      </c>
      <c r="E15">
        <v>281</v>
      </c>
      <c r="F15">
        <f t="shared" si="1"/>
        <v>7306</v>
      </c>
    </row>
    <row r="16" spans="1:10" x14ac:dyDescent="0.2">
      <c r="A16" s="14">
        <v>15</v>
      </c>
      <c r="B16" s="15" t="s">
        <v>70</v>
      </c>
      <c r="C16" s="15" t="s">
        <v>82</v>
      </c>
      <c r="D16" s="15">
        <v>31</v>
      </c>
      <c r="E16">
        <v>261</v>
      </c>
      <c r="F16">
        <f t="shared" si="1"/>
        <v>8091</v>
      </c>
    </row>
    <row r="17" spans="1:6" x14ac:dyDescent="0.2">
      <c r="A17" s="14">
        <v>16</v>
      </c>
      <c r="B17" s="15" t="s">
        <v>71</v>
      </c>
      <c r="C17" s="15" t="s">
        <v>83</v>
      </c>
      <c r="D17" s="15">
        <v>24</v>
      </c>
      <c r="E17">
        <v>274</v>
      </c>
      <c r="F17">
        <f t="shared" si="1"/>
        <v>6576</v>
      </c>
    </row>
    <row r="18" spans="1:6" x14ac:dyDescent="0.2">
      <c r="A18" s="14">
        <v>17</v>
      </c>
      <c r="B18" s="15" t="s">
        <v>72</v>
      </c>
      <c r="C18" s="15" t="s">
        <v>82</v>
      </c>
      <c r="D18" s="15">
        <v>39</v>
      </c>
      <c r="E18">
        <v>283</v>
      </c>
      <c r="F18">
        <f t="shared" si="1"/>
        <v>11037</v>
      </c>
    </row>
    <row r="19" spans="1:6" x14ac:dyDescent="0.2">
      <c r="A19" s="14">
        <v>18</v>
      </c>
      <c r="B19" s="15" t="s">
        <v>56</v>
      </c>
      <c r="C19" s="15" t="s">
        <v>83</v>
      </c>
      <c r="D19" s="15">
        <v>28</v>
      </c>
      <c r="E19">
        <v>249</v>
      </c>
      <c r="F19">
        <f t="shared" si="1"/>
        <v>6972</v>
      </c>
    </row>
    <row r="20" spans="1:6" x14ac:dyDescent="0.2">
      <c r="A20" s="14">
        <v>19</v>
      </c>
      <c r="B20" s="15" t="s">
        <v>57</v>
      </c>
      <c r="C20" s="15" t="s">
        <v>82</v>
      </c>
      <c r="D20" s="15">
        <v>26</v>
      </c>
      <c r="E20">
        <v>226</v>
      </c>
      <c r="F20">
        <f t="shared" si="1"/>
        <v>5876</v>
      </c>
    </row>
    <row r="21" spans="1:6" x14ac:dyDescent="0.2">
      <c r="A21" s="14">
        <v>20</v>
      </c>
      <c r="B21" s="15" t="s">
        <v>58</v>
      </c>
      <c r="C21" s="15" t="s">
        <v>83</v>
      </c>
      <c r="D21" s="15">
        <v>46</v>
      </c>
      <c r="E21">
        <v>275</v>
      </c>
      <c r="F21">
        <f t="shared" si="1"/>
        <v>12650</v>
      </c>
    </row>
    <row r="22" spans="1:6" x14ac:dyDescent="0.2">
      <c r="A22" s="14">
        <v>21</v>
      </c>
      <c r="B22" s="15" t="s">
        <v>59</v>
      </c>
      <c r="C22" s="15" t="s">
        <v>82</v>
      </c>
      <c r="D22" s="15">
        <v>37</v>
      </c>
      <c r="E22">
        <v>286</v>
      </c>
      <c r="F22">
        <f t="shared" si="1"/>
        <v>10582</v>
      </c>
    </row>
    <row r="23" spans="1:6" x14ac:dyDescent="0.2">
      <c r="A23" s="14">
        <v>22</v>
      </c>
      <c r="B23" s="15" t="s">
        <v>60</v>
      </c>
      <c r="C23" s="15" t="s">
        <v>83</v>
      </c>
      <c r="D23" s="15">
        <v>52</v>
      </c>
      <c r="E23">
        <v>220</v>
      </c>
      <c r="F23">
        <f t="shared" si="1"/>
        <v>11440</v>
      </c>
    </row>
    <row r="24" spans="1:6" x14ac:dyDescent="0.2">
      <c r="A24" s="14">
        <v>23</v>
      </c>
      <c r="B24" s="15" t="s">
        <v>61</v>
      </c>
      <c r="C24" s="15" t="s">
        <v>82</v>
      </c>
      <c r="D24" s="15">
        <v>46</v>
      </c>
      <c r="E24">
        <v>247</v>
      </c>
      <c r="F24">
        <f t="shared" si="1"/>
        <v>11362</v>
      </c>
    </row>
    <row r="25" spans="1:6" x14ac:dyDescent="0.2">
      <c r="A25" s="14">
        <v>24</v>
      </c>
      <c r="B25" s="15" t="s">
        <v>62</v>
      </c>
      <c r="C25" s="15" t="s">
        <v>83</v>
      </c>
      <c r="D25" s="15">
        <v>42</v>
      </c>
      <c r="E25">
        <v>255</v>
      </c>
      <c r="F25">
        <f t="shared" si="1"/>
        <v>10710</v>
      </c>
    </row>
    <row r="26" spans="1:6" x14ac:dyDescent="0.2">
      <c r="A26" s="14">
        <v>25</v>
      </c>
      <c r="B26" s="15" t="s">
        <v>63</v>
      </c>
      <c r="C26" s="15" t="s">
        <v>82</v>
      </c>
      <c r="D26" s="15">
        <v>21</v>
      </c>
      <c r="E26">
        <v>284</v>
      </c>
      <c r="F26">
        <f t="shared" si="1"/>
        <v>5964</v>
      </c>
    </row>
    <row r="27" spans="1:6" x14ac:dyDescent="0.2">
      <c r="A27" s="14">
        <v>26</v>
      </c>
      <c r="B27" s="15" t="s">
        <v>64</v>
      </c>
      <c r="C27" s="15" t="s">
        <v>83</v>
      </c>
      <c r="D27" s="15">
        <v>28</v>
      </c>
      <c r="E27">
        <v>260</v>
      </c>
      <c r="F27">
        <f t="shared" si="1"/>
        <v>7280</v>
      </c>
    </row>
    <row r="28" spans="1:6" x14ac:dyDescent="0.2">
      <c r="A28" s="14">
        <v>27</v>
      </c>
      <c r="B28" s="15" t="s">
        <v>65</v>
      </c>
      <c r="C28" s="15" t="s">
        <v>82</v>
      </c>
      <c r="D28" s="15">
        <v>29</v>
      </c>
      <c r="E28">
        <v>211</v>
      </c>
      <c r="F28">
        <f t="shared" si="1"/>
        <v>6119</v>
      </c>
    </row>
    <row r="29" spans="1:6" x14ac:dyDescent="0.2">
      <c r="A29" s="14">
        <v>28</v>
      </c>
      <c r="B29" s="15" t="s">
        <v>66</v>
      </c>
      <c r="C29" s="15" t="s">
        <v>83</v>
      </c>
      <c r="D29" s="15">
        <v>23</v>
      </c>
      <c r="E29">
        <v>243</v>
      </c>
      <c r="F29">
        <f t="shared" si="1"/>
        <v>5589</v>
      </c>
    </row>
    <row r="30" spans="1:6" x14ac:dyDescent="0.2">
      <c r="A30" s="14">
        <v>29</v>
      </c>
      <c r="B30" s="15" t="s">
        <v>67</v>
      </c>
      <c r="C30" s="15" t="s">
        <v>82</v>
      </c>
      <c r="D30" s="15">
        <v>41</v>
      </c>
      <c r="E30">
        <v>285</v>
      </c>
      <c r="F30">
        <f t="shared" si="1"/>
        <v>11685</v>
      </c>
    </row>
    <row r="31" spans="1:6" x14ac:dyDescent="0.2">
      <c r="A31" s="14">
        <v>30</v>
      </c>
      <c r="B31" s="15" t="s">
        <v>68</v>
      </c>
      <c r="C31" s="15" t="s">
        <v>83</v>
      </c>
      <c r="D31" s="15">
        <v>28</v>
      </c>
      <c r="E31">
        <v>263</v>
      </c>
      <c r="F31">
        <f t="shared" si="1"/>
        <v>7364</v>
      </c>
    </row>
    <row r="32" spans="1:6" x14ac:dyDescent="0.2">
      <c r="A32" s="14">
        <v>31</v>
      </c>
      <c r="B32" s="15" t="s">
        <v>69</v>
      </c>
      <c r="C32" s="15" t="s">
        <v>82</v>
      </c>
      <c r="D32" s="15">
        <v>37</v>
      </c>
      <c r="E32">
        <v>223</v>
      </c>
      <c r="F32">
        <f t="shared" si="1"/>
        <v>8251</v>
      </c>
    </row>
    <row r="33" spans="1:6" x14ac:dyDescent="0.2">
      <c r="A33" s="14">
        <v>32</v>
      </c>
      <c r="B33" s="15" t="s">
        <v>70</v>
      </c>
      <c r="C33" s="15" t="s">
        <v>83</v>
      </c>
      <c r="D33" s="15">
        <v>34</v>
      </c>
      <c r="E33">
        <v>219</v>
      </c>
      <c r="F33">
        <f t="shared" si="1"/>
        <v>7446</v>
      </c>
    </row>
    <row r="34" spans="1:6" x14ac:dyDescent="0.2">
      <c r="A34" s="14">
        <v>33</v>
      </c>
      <c r="B34" s="15" t="s">
        <v>71</v>
      </c>
      <c r="C34" s="15" t="s">
        <v>82</v>
      </c>
      <c r="D34" s="15">
        <v>26</v>
      </c>
      <c r="E34">
        <v>249</v>
      </c>
      <c r="F34">
        <f t="shared" si="1"/>
        <v>6474</v>
      </c>
    </row>
    <row r="35" spans="1:6" x14ac:dyDescent="0.2">
      <c r="A35" s="14">
        <v>34</v>
      </c>
      <c r="B35" s="15" t="s">
        <v>72</v>
      </c>
      <c r="C35" s="15" t="s">
        <v>83</v>
      </c>
      <c r="D35" s="15">
        <v>35</v>
      </c>
      <c r="E35">
        <v>283</v>
      </c>
      <c r="F35">
        <f t="shared" si="1"/>
        <v>9905</v>
      </c>
    </row>
    <row r="36" spans="1:6" x14ac:dyDescent="0.2">
      <c r="A36" s="14">
        <v>35</v>
      </c>
      <c r="B36" s="15" t="s">
        <v>56</v>
      </c>
      <c r="C36" s="15" t="s">
        <v>82</v>
      </c>
      <c r="D36" s="15">
        <v>36</v>
      </c>
      <c r="E36">
        <v>200</v>
      </c>
      <c r="F36">
        <f t="shared" si="1"/>
        <v>7200</v>
      </c>
    </row>
    <row r="37" spans="1:6" x14ac:dyDescent="0.2">
      <c r="A37" s="14">
        <v>36</v>
      </c>
      <c r="B37" s="15" t="s">
        <v>57</v>
      </c>
      <c r="C37" s="15" t="s">
        <v>83</v>
      </c>
      <c r="D37" s="15">
        <v>29</v>
      </c>
      <c r="E37">
        <v>209</v>
      </c>
      <c r="F37">
        <f t="shared" si="1"/>
        <v>6061</v>
      </c>
    </row>
    <row r="38" spans="1:6" x14ac:dyDescent="0.2">
      <c r="A38" s="14">
        <v>37</v>
      </c>
      <c r="B38" s="15" t="s">
        <v>58</v>
      </c>
      <c r="C38" s="15" t="s">
        <v>82</v>
      </c>
      <c r="D38" s="15">
        <v>27</v>
      </c>
      <c r="E38">
        <v>279</v>
      </c>
      <c r="F38">
        <f t="shared" si="1"/>
        <v>7533</v>
      </c>
    </row>
    <row r="39" spans="1:6" x14ac:dyDescent="0.2">
      <c r="A39" s="14">
        <v>38</v>
      </c>
      <c r="B39" s="15" t="s">
        <v>59</v>
      </c>
      <c r="C39" s="15" t="s">
        <v>83</v>
      </c>
      <c r="D39" s="15">
        <v>25</v>
      </c>
      <c r="E39">
        <v>281</v>
      </c>
      <c r="F39">
        <f t="shared" si="1"/>
        <v>7025</v>
      </c>
    </row>
    <row r="40" spans="1:6" x14ac:dyDescent="0.2">
      <c r="A40" s="14">
        <v>39</v>
      </c>
      <c r="B40" s="15" t="s">
        <v>60</v>
      </c>
      <c r="C40" s="15" t="s">
        <v>82</v>
      </c>
      <c r="D40" s="15">
        <v>36</v>
      </c>
      <c r="E40">
        <v>268</v>
      </c>
      <c r="F40">
        <f t="shared" si="1"/>
        <v>9648</v>
      </c>
    </row>
    <row r="41" spans="1:6" x14ac:dyDescent="0.2">
      <c r="A41" s="14">
        <v>40</v>
      </c>
      <c r="B41" s="15" t="s">
        <v>61</v>
      </c>
      <c r="C41" s="15" t="s">
        <v>83</v>
      </c>
      <c r="D41" s="15">
        <v>37</v>
      </c>
      <c r="E41">
        <v>300</v>
      </c>
      <c r="F41">
        <f t="shared" si="1"/>
        <v>11100</v>
      </c>
    </row>
    <row r="42" spans="1:6" x14ac:dyDescent="0.2">
      <c r="A42" s="14">
        <v>41</v>
      </c>
      <c r="B42" s="15" t="s">
        <v>62</v>
      </c>
      <c r="C42" s="15" t="s">
        <v>82</v>
      </c>
      <c r="D42" s="15">
        <v>26</v>
      </c>
      <c r="E42">
        <v>274</v>
      </c>
      <c r="F42">
        <f t="shared" si="1"/>
        <v>7124</v>
      </c>
    </row>
    <row r="43" spans="1:6" x14ac:dyDescent="0.2">
      <c r="A43" s="14">
        <v>42</v>
      </c>
      <c r="B43" s="15" t="s">
        <v>63</v>
      </c>
      <c r="C43" s="15" t="s">
        <v>83</v>
      </c>
      <c r="D43" s="15">
        <v>37</v>
      </c>
      <c r="E43">
        <v>293</v>
      </c>
      <c r="F43">
        <f t="shared" si="1"/>
        <v>10841</v>
      </c>
    </row>
    <row r="44" spans="1:6" x14ac:dyDescent="0.2">
      <c r="A44" s="14">
        <v>43</v>
      </c>
      <c r="B44" s="15" t="s">
        <v>64</v>
      </c>
      <c r="C44" s="15" t="s">
        <v>82</v>
      </c>
      <c r="D44" s="15">
        <v>24</v>
      </c>
      <c r="E44">
        <v>239</v>
      </c>
      <c r="F44">
        <f t="shared" si="1"/>
        <v>5736</v>
      </c>
    </row>
    <row r="45" spans="1:6" x14ac:dyDescent="0.2">
      <c r="A45" s="14">
        <v>44</v>
      </c>
      <c r="B45" s="15" t="s">
        <v>65</v>
      </c>
      <c r="C45" s="15" t="s">
        <v>83</v>
      </c>
      <c r="D45" s="15">
        <v>39</v>
      </c>
      <c r="E45">
        <v>296</v>
      </c>
      <c r="F45">
        <f t="shared" si="1"/>
        <v>11544</v>
      </c>
    </row>
    <row r="46" spans="1:6" x14ac:dyDescent="0.2">
      <c r="A46" s="14">
        <v>45</v>
      </c>
      <c r="B46" s="15" t="s">
        <v>66</v>
      </c>
      <c r="C46" s="15" t="s">
        <v>82</v>
      </c>
      <c r="D46" s="15">
        <v>26</v>
      </c>
      <c r="E46">
        <v>277</v>
      </c>
      <c r="F46">
        <f t="shared" si="1"/>
        <v>7202</v>
      </c>
    </row>
    <row r="47" spans="1:6" x14ac:dyDescent="0.2">
      <c r="A47" s="14">
        <v>46</v>
      </c>
      <c r="B47" s="15" t="s">
        <v>67</v>
      </c>
      <c r="C47" s="15" t="s">
        <v>83</v>
      </c>
      <c r="D47" s="15">
        <v>34</v>
      </c>
      <c r="E47">
        <v>252</v>
      </c>
      <c r="F47">
        <f t="shared" si="1"/>
        <v>8568</v>
      </c>
    </row>
    <row r="48" spans="1:6" x14ac:dyDescent="0.2">
      <c r="A48" s="14">
        <v>47</v>
      </c>
      <c r="B48" s="15" t="s">
        <v>68</v>
      </c>
      <c r="C48" s="15" t="s">
        <v>82</v>
      </c>
      <c r="D48" s="15">
        <v>28</v>
      </c>
      <c r="E48">
        <v>291</v>
      </c>
      <c r="F48">
        <f t="shared" si="1"/>
        <v>8148</v>
      </c>
    </row>
    <row r="49" spans="1:6" x14ac:dyDescent="0.2">
      <c r="A49" s="14">
        <v>48</v>
      </c>
      <c r="B49" s="15" t="s">
        <v>69</v>
      </c>
      <c r="C49" s="15" t="s">
        <v>83</v>
      </c>
      <c r="D49" s="15">
        <v>32</v>
      </c>
      <c r="E49">
        <v>207</v>
      </c>
      <c r="F49">
        <f t="shared" si="1"/>
        <v>6624</v>
      </c>
    </row>
    <row r="50" spans="1:6" x14ac:dyDescent="0.2">
      <c r="A50" s="14">
        <v>49</v>
      </c>
      <c r="B50" s="15" t="s">
        <v>70</v>
      </c>
      <c r="C50" s="15" t="s">
        <v>82</v>
      </c>
      <c r="D50" s="15">
        <v>39</v>
      </c>
      <c r="E50">
        <v>211</v>
      </c>
      <c r="F50">
        <f t="shared" si="1"/>
        <v>8229</v>
      </c>
    </row>
    <row r="51" spans="1:6" x14ac:dyDescent="0.2">
      <c r="A51" s="14">
        <v>50</v>
      </c>
      <c r="B51" s="15" t="s">
        <v>71</v>
      </c>
      <c r="C51" s="15" t="s">
        <v>83</v>
      </c>
      <c r="D51" s="15">
        <v>29</v>
      </c>
      <c r="E51">
        <v>235</v>
      </c>
      <c r="F51">
        <f t="shared" si="1"/>
        <v>6815</v>
      </c>
    </row>
    <row r="52" spans="1:6" x14ac:dyDescent="0.2">
      <c r="A52" s="14">
        <v>51</v>
      </c>
      <c r="B52" s="15" t="s">
        <v>72</v>
      </c>
      <c r="C52" s="15" t="s">
        <v>82</v>
      </c>
      <c r="D52" s="15">
        <v>32</v>
      </c>
      <c r="E52">
        <v>206</v>
      </c>
      <c r="F52">
        <f t="shared" si="1"/>
        <v>6592</v>
      </c>
    </row>
    <row r="53" spans="1:6" x14ac:dyDescent="0.2">
      <c r="A53" s="14">
        <v>52</v>
      </c>
      <c r="B53" s="15" t="s">
        <v>56</v>
      </c>
      <c r="C53" s="15" t="s">
        <v>83</v>
      </c>
      <c r="D53" s="15">
        <v>25</v>
      </c>
      <c r="E53">
        <v>284</v>
      </c>
      <c r="F53">
        <f t="shared" si="1"/>
        <v>7100</v>
      </c>
    </row>
    <row r="54" spans="1:6" x14ac:dyDescent="0.2">
      <c r="A54" s="14">
        <v>53</v>
      </c>
      <c r="B54" s="15" t="s">
        <v>57</v>
      </c>
      <c r="C54" s="15" t="s">
        <v>82</v>
      </c>
      <c r="D54" s="15">
        <v>36</v>
      </c>
      <c r="E54">
        <v>298</v>
      </c>
      <c r="F54">
        <f t="shared" si="1"/>
        <v>10728</v>
      </c>
    </row>
    <row r="55" spans="1:6" x14ac:dyDescent="0.2">
      <c r="A55" s="14">
        <v>54</v>
      </c>
      <c r="B55" s="15" t="s">
        <v>58</v>
      </c>
      <c r="C55" s="15" t="s">
        <v>83</v>
      </c>
      <c r="D55" s="15">
        <v>25</v>
      </c>
      <c r="E55">
        <v>243</v>
      </c>
      <c r="F55">
        <f t="shared" si="1"/>
        <v>6075</v>
      </c>
    </row>
    <row r="56" spans="1:6" x14ac:dyDescent="0.2">
      <c r="A56" s="14">
        <v>55</v>
      </c>
      <c r="B56" s="15" t="s">
        <v>59</v>
      </c>
      <c r="C56" s="15" t="s">
        <v>82</v>
      </c>
      <c r="D56" s="15">
        <v>58</v>
      </c>
      <c r="E56">
        <v>298</v>
      </c>
      <c r="F56">
        <f t="shared" si="1"/>
        <v>17284</v>
      </c>
    </row>
    <row r="57" spans="1:6" x14ac:dyDescent="0.2">
      <c r="A57" s="14">
        <v>56</v>
      </c>
      <c r="B57" s="15" t="s">
        <v>60</v>
      </c>
      <c r="C57" s="15" t="s">
        <v>83</v>
      </c>
      <c r="D57" s="15">
        <v>24</v>
      </c>
      <c r="E57">
        <v>273</v>
      </c>
      <c r="F57">
        <f t="shared" si="1"/>
        <v>6552</v>
      </c>
    </row>
    <row r="58" spans="1:6" x14ac:dyDescent="0.2">
      <c r="A58" s="14">
        <v>57</v>
      </c>
      <c r="B58" s="15" t="s">
        <v>61</v>
      </c>
      <c r="C58" s="15" t="s">
        <v>82</v>
      </c>
      <c r="D58" s="15">
        <v>56</v>
      </c>
      <c r="E58">
        <v>236</v>
      </c>
      <c r="F58">
        <f t="shared" si="1"/>
        <v>13216</v>
      </c>
    </row>
    <row r="59" spans="1:6" x14ac:dyDescent="0.2">
      <c r="A59" s="14">
        <v>58</v>
      </c>
      <c r="B59" s="15" t="s">
        <v>62</v>
      </c>
      <c r="C59" s="15" t="s">
        <v>83</v>
      </c>
      <c r="D59" s="15">
        <v>27</v>
      </c>
      <c r="E59">
        <v>272</v>
      </c>
      <c r="F59">
        <f t="shared" si="1"/>
        <v>7344</v>
      </c>
    </row>
    <row r="60" spans="1:6" x14ac:dyDescent="0.2">
      <c r="A60" s="14">
        <v>59</v>
      </c>
      <c r="B60" s="15" t="s">
        <v>63</v>
      </c>
      <c r="C60" s="15" t="s">
        <v>82</v>
      </c>
      <c r="D60" s="15">
        <v>40</v>
      </c>
      <c r="E60">
        <v>264</v>
      </c>
      <c r="F60">
        <f t="shared" si="1"/>
        <v>10560</v>
      </c>
    </row>
    <row r="61" spans="1:6" x14ac:dyDescent="0.2">
      <c r="A61" s="14">
        <v>60</v>
      </c>
      <c r="B61" s="15" t="s">
        <v>64</v>
      </c>
      <c r="C61" s="15" t="s">
        <v>83</v>
      </c>
      <c r="D61" s="15">
        <v>28</v>
      </c>
      <c r="E61">
        <v>285</v>
      </c>
      <c r="F61">
        <f t="shared" si="1"/>
        <v>7980</v>
      </c>
    </row>
    <row r="62" spans="1:6" x14ac:dyDescent="0.2">
      <c r="A62" s="14">
        <v>61</v>
      </c>
      <c r="B62" s="15" t="s">
        <v>65</v>
      </c>
      <c r="C62" s="15" t="s">
        <v>82</v>
      </c>
      <c r="D62" s="15">
        <v>39</v>
      </c>
      <c r="E62">
        <v>235</v>
      </c>
      <c r="F62">
        <f t="shared" si="1"/>
        <v>9165</v>
      </c>
    </row>
    <row r="63" spans="1:6" x14ac:dyDescent="0.2">
      <c r="A63" s="14">
        <v>62</v>
      </c>
      <c r="B63" s="15" t="s">
        <v>66</v>
      </c>
      <c r="C63" s="15" t="s">
        <v>83</v>
      </c>
      <c r="D63" s="15">
        <v>38</v>
      </c>
      <c r="E63">
        <v>265</v>
      </c>
      <c r="F63">
        <f t="shared" si="1"/>
        <v>10070</v>
      </c>
    </row>
    <row r="64" spans="1:6" x14ac:dyDescent="0.2">
      <c r="A64" s="14">
        <v>63</v>
      </c>
      <c r="B64" s="15" t="s">
        <v>67</v>
      </c>
      <c r="C64" s="15" t="s">
        <v>82</v>
      </c>
      <c r="D64" s="15">
        <v>32</v>
      </c>
      <c r="E64">
        <v>212</v>
      </c>
      <c r="F64">
        <f t="shared" si="1"/>
        <v>6784</v>
      </c>
    </row>
    <row r="65" spans="1:6" x14ac:dyDescent="0.2">
      <c r="A65" s="14">
        <v>64</v>
      </c>
      <c r="B65" s="15" t="s">
        <v>68</v>
      </c>
      <c r="C65" s="15" t="s">
        <v>83</v>
      </c>
      <c r="D65" s="15">
        <v>26</v>
      </c>
      <c r="E65">
        <v>265</v>
      </c>
      <c r="F65">
        <f t="shared" si="1"/>
        <v>6890</v>
      </c>
    </row>
    <row r="66" spans="1:6" x14ac:dyDescent="0.2">
      <c r="A66" s="14">
        <v>65</v>
      </c>
      <c r="B66" s="15" t="s">
        <v>69</v>
      </c>
      <c r="C66" s="15" t="s">
        <v>82</v>
      </c>
      <c r="D66" s="15">
        <v>31</v>
      </c>
      <c r="E66">
        <v>285</v>
      </c>
      <c r="F66">
        <f t="shared" si="1"/>
        <v>8835</v>
      </c>
    </row>
    <row r="67" spans="1:6" x14ac:dyDescent="0.2">
      <c r="A67" s="14">
        <v>66</v>
      </c>
      <c r="B67" s="15" t="s">
        <v>70</v>
      </c>
      <c r="C67" s="15" t="s">
        <v>83</v>
      </c>
      <c r="D67" s="15">
        <v>24</v>
      </c>
      <c r="E67">
        <v>266</v>
      </c>
      <c r="F67">
        <f t="shared" ref="F67:F101" si="2">D67*E67</f>
        <v>6384</v>
      </c>
    </row>
    <row r="68" spans="1:6" x14ac:dyDescent="0.2">
      <c r="A68" s="14">
        <v>67</v>
      </c>
      <c r="B68" s="15" t="s">
        <v>71</v>
      </c>
      <c r="C68" s="15" t="s">
        <v>82</v>
      </c>
      <c r="D68" s="15">
        <v>39</v>
      </c>
      <c r="E68">
        <v>266</v>
      </c>
      <c r="F68">
        <f t="shared" si="2"/>
        <v>10374</v>
      </c>
    </row>
    <row r="69" spans="1:6" x14ac:dyDescent="0.2">
      <c r="A69" s="14">
        <v>68</v>
      </c>
      <c r="B69" s="15" t="s">
        <v>72</v>
      </c>
      <c r="C69" s="15" t="s">
        <v>83</v>
      </c>
      <c r="D69" s="15">
        <v>28</v>
      </c>
      <c r="E69">
        <v>241</v>
      </c>
      <c r="F69">
        <f t="shared" si="2"/>
        <v>6748</v>
      </c>
    </row>
    <row r="70" spans="1:6" x14ac:dyDescent="0.2">
      <c r="A70" s="14">
        <v>69</v>
      </c>
      <c r="B70" s="15" t="s">
        <v>56</v>
      </c>
      <c r="C70" s="15" t="s">
        <v>82</v>
      </c>
      <c r="D70" s="15">
        <v>26</v>
      </c>
      <c r="E70">
        <v>287</v>
      </c>
      <c r="F70">
        <f t="shared" si="2"/>
        <v>7462</v>
      </c>
    </row>
    <row r="71" spans="1:6" x14ac:dyDescent="0.2">
      <c r="A71" s="14">
        <v>70</v>
      </c>
      <c r="B71" s="15" t="s">
        <v>57</v>
      </c>
      <c r="C71" s="15" t="s">
        <v>83</v>
      </c>
      <c r="D71" s="15">
        <v>46</v>
      </c>
      <c r="E71">
        <v>260</v>
      </c>
      <c r="F71">
        <f t="shared" si="2"/>
        <v>11960</v>
      </c>
    </row>
    <row r="72" spans="1:6" x14ac:dyDescent="0.2">
      <c r="A72" s="14">
        <v>71</v>
      </c>
      <c r="B72" s="15" t="s">
        <v>58</v>
      </c>
      <c r="C72" s="15" t="s">
        <v>82</v>
      </c>
      <c r="D72" s="15">
        <v>37</v>
      </c>
      <c r="E72">
        <v>261</v>
      </c>
      <c r="F72">
        <f t="shared" si="2"/>
        <v>9657</v>
      </c>
    </row>
    <row r="73" spans="1:6" x14ac:dyDescent="0.2">
      <c r="A73" s="14">
        <v>72</v>
      </c>
      <c r="B73" s="15" t="s">
        <v>59</v>
      </c>
      <c r="C73" s="15" t="s">
        <v>83</v>
      </c>
      <c r="D73" s="15">
        <v>52</v>
      </c>
      <c r="E73">
        <v>293</v>
      </c>
      <c r="F73">
        <f t="shared" si="2"/>
        <v>15236</v>
      </c>
    </row>
    <row r="74" spans="1:6" x14ac:dyDescent="0.2">
      <c r="A74" s="14">
        <v>73</v>
      </c>
      <c r="B74" s="15" t="s">
        <v>60</v>
      </c>
      <c r="C74" s="15" t="s">
        <v>82</v>
      </c>
      <c r="D74" s="15">
        <v>46</v>
      </c>
      <c r="E74">
        <v>213</v>
      </c>
      <c r="F74">
        <f t="shared" si="2"/>
        <v>9798</v>
      </c>
    </row>
    <row r="75" spans="1:6" x14ac:dyDescent="0.2">
      <c r="A75" s="14">
        <v>74</v>
      </c>
      <c r="B75" s="15" t="s">
        <v>61</v>
      </c>
      <c r="C75" s="15" t="s">
        <v>83</v>
      </c>
      <c r="D75" s="15">
        <v>42</v>
      </c>
      <c r="E75">
        <v>297</v>
      </c>
      <c r="F75">
        <f t="shared" si="2"/>
        <v>12474</v>
      </c>
    </row>
    <row r="76" spans="1:6" x14ac:dyDescent="0.2">
      <c r="A76" s="14">
        <v>75</v>
      </c>
      <c r="B76" s="15" t="s">
        <v>62</v>
      </c>
      <c r="C76" s="15" t="s">
        <v>82</v>
      </c>
      <c r="D76" s="15">
        <v>21</v>
      </c>
      <c r="E76">
        <v>213</v>
      </c>
      <c r="F76">
        <f t="shared" si="2"/>
        <v>4473</v>
      </c>
    </row>
    <row r="77" spans="1:6" x14ac:dyDescent="0.2">
      <c r="A77" s="14">
        <v>76</v>
      </c>
      <c r="B77" s="15" t="s">
        <v>63</v>
      </c>
      <c r="C77" s="15" t="s">
        <v>83</v>
      </c>
      <c r="D77" s="15">
        <v>28</v>
      </c>
      <c r="E77">
        <v>213</v>
      </c>
      <c r="F77">
        <f t="shared" si="2"/>
        <v>5964</v>
      </c>
    </row>
    <row r="78" spans="1:6" x14ac:dyDescent="0.2">
      <c r="A78" s="14">
        <v>77</v>
      </c>
      <c r="B78" s="15" t="s">
        <v>64</v>
      </c>
      <c r="C78" s="15" t="s">
        <v>82</v>
      </c>
      <c r="D78" s="15">
        <v>29</v>
      </c>
      <c r="E78">
        <v>280</v>
      </c>
      <c r="F78">
        <f t="shared" si="2"/>
        <v>8120</v>
      </c>
    </row>
    <row r="79" spans="1:6" x14ac:dyDescent="0.2">
      <c r="A79" s="14">
        <v>78</v>
      </c>
      <c r="B79" s="15" t="s">
        <v>65</v>
      </c>
      <c r="C79" s="15" t="s">
        <v>83</v>
      </c>
      <c r="D79" s="15">
        <v>23</v>
      </c>
      <c r="E79">
        <v>235</v>
      </c>
      <c r="F79">
        <f t="shared" si="2"/>
        <v>5405</v>
      </c>
    </row>
    <row r="80" spans="1:6" x14ac:dyDescent="0.2">
      <c r="A80" s="14">
        <v>79</v>
      </c>
      <c r="B80" s="15" t="s">
        <v>66</v>
      </c>
      <c r="C80" s="15" t="s">
        <v>82</v>
      </c>
      <c r="D80" s="15">
        <v>41</v>
      </c>
      <c r="E80">
        <v>265</v>
      </c>
      <c r="F80">
        <f t="shared" si="2"/>
        <v>10865</v>
      </c>
    </row>
    <row r="81" spans="1:6" x14ac:dyDescent="0.2">
      <c r="A81" s="14">
        <v>80</v>
      </c>
      <c r="B81" s="15" t="s">
        <v>67</v>
      </c>
      <c r="C81" s="15" t="s">
        <v>83</v>
      </c>
      <c r="D81" s="15">
        <v>28</v>
      </c>
      <c r="E81">
        <v>251</v>
      </c>
      <c r="F81">
        <f t="shared" si="2"/>
        <v>7028</v>
      </c>
    </row>
    <row r="82" spans="1:6" x14ac:dyDescent="0.2">
      <c r="A82" s="14">
        <v>81</v>
      </c>
      <c r="B82" s="15" t="s">
        <v>68</v>
      </c>
      <c r="C82" s="15" t="s">
        <v>82</v>
      </c>
      <c r="D82" s="15">
        <v>37</v>
      </c>
      <c r="E82">
        <v>283</v>
      </c>
      <c r="F82">
        <f t="shared" si="2"/>
        <v>10471</v>
      </c>
    </row>
    <row r="83" spans="1:6" x14ac:dyDescent="0.2">
      <c r="A83" s="14">
        <v>82</v>
      </c>
      <c r="B83" s="15" t="s">
        <v>69</v>
      </c>
      <c r="C83" s="15" t="s">
        <v>83</v>
      </c>
      <c r="D83" s="15">
        <v>34</v>
      </c>
      <c r="E83">
        <v>262</v>
      </c>
      <c r="F83">
        <f t="shared" si="2"/>
        <v>8908</v>
      </c>
    </row>
    <row r="84" spans="1:6" x14ac:dyDescent="0.2">
      <c r="A84" s="14">
        <v>83</v>
      </c>
      <c r="B84" s="15" t="s">
        <v>70</v>
      </c>
      <c r="C84" s="15" t="s">
        <v>82</v>
      </c>
      <c r="D84" s="15">
        <v>26</v>
      </c>
      <c r="E84">
        <v>267</v>
      </c>
      <c r="F84">
        <f t="shared" si="2"/>
        <v>6942</v>
      </c>
    </row>
    <row r="85" spans="1:6" x14ac:dyDescent="0.2">
      <c r="A85" s="14">
        <v>84</v>
      </c>
      <c r="B85" s="15" t="s">
        <v>71</v>
      </c>
      <c r="C85" s="15" t="s">
        <v>83</v>
      </c>
      <c r="D85" s="15">
        <v>35</v>
      </c>
      <c r="E85">
        <v>300</v>
      </c>
      <c r="F85">
        <f t="shared" si="2"/>
        <v>10500</v>
      </c>
    </row>
    <row r="86" spans="1:6" x14ac:dyDescent="0.2">
      <c r="A86" s="14">
        <v>85</v>
      </c>
      <c r="B86" s="15" t="s">
        <v>72</v>
      </c>
      <c r="C86" s="15" t="s">
        <v>82</v>
      </c>
      <c r="D86" s="15">
        <v>36</v>
      </c>
      <c r="E86">
        <v>269</v>
      </c>
      <c r="F86">
        <f t="shared" si="2"/>
        <v>9684</v>
      </c>
    </row>
    <row r="87" spans="1:6" x14ac:dyDescent="0.2">
      <c r="A87" s="14">
        <v>86</v>
      </c>
      <c r="B87" s="15" t="s">
        <v>56</v>
      </c>
      <c r="C87" s="15" t="s">
        <v>83</v>
      </c>
      <c r="D87" s="15">
        <v>29</v>
      </c>
      <c r="E87">
        <v>257</v>
      </c>
      <c r="F87">
        <f t="shared" si="2"/>
        <v>7453</v>
      </c>
    </row>
    <row r="88" spans="1:6" x14ac:dyDescent="0.2">
      <c r="A88" s="14">
        <v>87</v>
      </c>
      <c r="B88" s="15" t="s">
        <v>57</v>
      </c>
      <c r="C88" s="15" t="s">
        <v>82</v>
      </c>
      <c r="D88" s="15">
        <v>27</v>
      </c>
      <c r="E88">
        <v>294</v>
      </c>
      <c r="F88">
        <f t="shared" si="2"/>
        <v>7938</v>
      </c>
    </row>
    <row r="89" spans="1:6" x14ac:dyDescent="0.2">
      <c r="A89" s="14">
        <v>88</v>
      </c>
      <c r="B89" s="15" t="s">
        <v>58</v>
      </c>
      <c r="C89" s="15" t="s">
        <v>83</v>
      </c>
      <c r="D89" s="15">
        <v>25</v>
      </c>
      <c r="E89">
        <v>273</v>
      </c>
      <c r="F89">
        <f t="shared" si="2"/>
        <v>6825</v>
      </c>
    </row>
    <row r="90" spans="1:6" x14ac:dyDescent="0.2">
      <c r="A90" s="14">
        <v>89</v>
      </c>
      <c r="B90" s="15" t="s">
        <v>59</v>
      </c>
      <c r="C90" s="15" t="s">
        <v>82</v>
      </c>
      <c r="D90" s="15">
        <v>36</v>
      </c>
      <c r="E90">
        <v>272</v>
      </c>
      <c r="F90">
        <f t="shared" si="2"/>
        <v>9792</v>
      </c>
    </row>
    <row r="91" spans="1:6" x14ac:dyDescent="0.2">
      <c r="A91" s="14">
        <v>90</v>
      </c>
      <c r="B91" s="15" t="s">
        <v>60</v>
      </c>
      <c r="C91" s="15" t="s">
        <v>83</v>
      </c>
      <c r="D91" s="15">
        <v>37</v>
      </c>
      <c r="E91">
        <v>227</v>
      </c>
      <c r="F91">
        <f t="shared" si="2"/>
        <v>8399</v>
      </c>
    </row>
    <row r="92" spans="1:6" x14ac:dyDescent="0.2">
      <c r="A92" s="14">
        <v>91</v>
      </c>
      <c r="B92" s="15" t="s">
        <v>61</v>
      </c>
      <c r="C92" s="15" t="s">
        <v>82</v>
      </c>
      <c r="D92" s="15">
        <v>26</v>
      </c>
      <c r="E92">
        <v>239</v>
      </c>
      <c r="F92">
        <f t="shared" si="2"/>
        <v>6214</v>
      </c>
    </row>
    <row r="93" spans="1:6" x14ac:dyDescent="0.2">
      <c r="A93" s="14">
        <v>92</v>
      </c>
      <c r="B93" s="15" t="s">
        <v>62</v>
      </c>
      <c r="C93" s="15" t="s">
        <v>83</v>
      </c>
      <c r="D93" s="15">
        <v>37</v>
      </c>
      <c r="E93">
        <v>289</v>
      </c>
      <c r="F93">
        <f t="shared" si="2"/>
        <v>10693</v>
      </c>
    </row>
    <row r="94" spans="1:6" x14ac:dyDescent="0.2">
      <c r="A94" s="14">
        <v>93</v>
      </c>
      <c r="B94" s="15" t="s">
        <v>63</v>
      </c>
      <c r="C94" s="15" t="s">
        <v>82</v>
      </c>
      <c r="D94" s="15">
        <v>24</v>
      </c>
      <c r="E94">
        <v>205</v>
      </c>
      <c r="F94">
        <f t="shared" si="2"/>
        <v>4920</v>
      </c>
    </row>
    <row r="95" spans="1:6" x14ac:dyDescent="0.2">
      <c r="A95" s="14">
        <v>94</v>
      </c>
      <c r="B95" s="15" t="s">
        <v>64</v>
      </c>
      <c r="C95" s="15" t="s">
        <v>83</v>
      </c>
      <c r="D95" s="15">
        <v>39</v>
      </c>
      <c r="E95">
        <v>235</v>
      </c>
      <c r="F95">
        <f t="shared" si="2"/>
        <v>9165</v>
      </c>
    </row>
    <row r="96" spans="1:6" x14ac:dyDescent="0.2">
      <c r="A96" s="14">
        <v>95</v>
      </c>
      <c r="B96" s="15" t="s">
        <v>65</v>
      </c>
      <c r="C96" s="15" t="s">
        <v>82</v>
      </c>
      <c r="D96" s="15">
        <v>26</v>
      </c>
      <c r="E96">
        <v>216</v>
      </c>
      <c r="F96">
        <f t="shared" si="2"/>
        <v>5616</v>
      </c>
    </row>
    <row r="97" spans="1:6" x14ac:dyDescent="0.2">
      <c r="A97" s="14">
        <v>96</v>
      </c>
      <c r="B97" s="15" t="s">
        <v>66</v>
      </c>
      <c r="C97" s="15" t="s">
        <v>83</v>
      </c>
      <c r="D97" s="15">
        <v>34</v>
      </c>
      <c r="E97">
        <v>283</v>
      </c>
      <c r="F97">
        <f t="shared" si="2"/>
        <v>9622</v>
      </c>
    </row>
    <row r="98" spans="1:6" x14ac:dyDescent="0.2">
      <c r="A98" s="14">
        <v>97</v>
      </c>
      <c r="B98" s="15" t="s">
        <v>67</v>
      </c>
      <c r="C98" s="15" t="s">
        <v>82</v>
      </c>
      <c r="D98" s="15">
        <v>28</v>
      </c>
      <c r="E98">
        <v>257</v>
      </c>
      <c r="F98">
        <f t="shared" si="2"/>
        <v>7196</v>
      </c>
    </row>
    <row r="99" spans="1:6" x14ac:dyDescent="0.2">
      <c r="A99" s="14">
        <v>98</v>
      </c>
      <c r="B99" s="15" t="s">
        <v>68</v>
      </c>
      <c r="C99" s="15" t="s">
        <v>83</v>
      </c>
      <c r="D99" s="15">
        <v>32</v>
      </c>
      <c r="E99">
        <v>209</v>
      </c>
      <c r="F99">
        <f t="shared" si="2"/>
        <v>6688</v>
      </c>
    </row>
    <row r="100" spans="1:6" x14ac:dyDescent="0.2">
      <c r="A100" s="14">
        <v>99</v>
      </c>
      <c r="B100" s="15" t="s">
        <v>69</v>
      </c>
      <c r="C100" s="15" t="s">
        <v>82</v>
      </c>
      <c r="D100" s="15">
        <v>39</v>
      </c>
      <c r="E100">
        <v>209</v>
      </c>
      <c r="F100">
        <f t="shared" si="2"/>
        <v>8151</v>
      </c>
    </row>
    <row r="101" spans="1:6" x14ac:dyDescent="0.2">
      <c r="A101" s="14">
        <v>100</v>
      </c>
      <c r="B101" s="15" t="s">
        <v>70</v>
      </c>
      <c r="C101" s="15" t="s">
        <v>83</v>
      </c>
      <c r="D101" s="15">
        <v>29</v>
      </c>
      <c r="E101">
        <v>253</v>
      </c>
      <c r="F101">
        <f t="shared" si="2"/>
        <v>7337</v>
      </c>
    </row>
    <row r="102" spans="1:6" x14ac:dyDescent="0.2">
      <c r="A102" s="11"/>
    </row>
    <row r="103" spans="1:6" x14ac:dyDescent="0.2">
      <c r="A103" s="11"/>
    </row>
    <row r="104" spans="1:6" x14ac:dyDescent="0.2">
      <c r="A104" s="11"/>
    </row>
    <row r="105" spans="1:6" x14ac:dyDescent="0.2">
      <c r="A105" s="11"/>
    </row>
    <row r="106" spans="1:6" x14ac:dyDescent="0.2">
      <c r="A106" s="11"/>
    </row>
    <row r="107" spans="1:6" x14ac:dyDescent="0.2">
      <c r="A107" s="11"/>
    </row>
  </sheetData>
  <printOptions headings="1"/>
  <pageMargins left="0.7" right="0.22" top="0.56999999999999995" bottom="0.75" header="0.3" footer="0.3"/>
  <pageSetup paperSize="9" scale="61" fitToWidth="0" fitToHeight="0" orientation="portrait" verticalDpi="0" r:id="rId1"/>
  <cellWatches>
    <cellWatch r="F2"/>
    <cellWatch r="F3"/>
  </cellWatch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07"/>
  <sheetViews>
    <sheetView topLeftCell="A64" zoomScale="160" zoomScaleNormal="160" workbookViewId="0">
      <selection activeCell="B192" sqref="B192"/>
    </sheetView>
  </sheetViews>
  <sheetFormatPr defaultRowHeight="14.25" x14ac:dyDescent="0.2"/>
  <cols>
    <col min="1" max="1" width="5.625" customWidth="1"/>
    <col min="2" max="2" width="13.875" customWidth="1"/>
    <col min="3" max="3" width="6.125" customWidth="1"/>
    <col min="4" max="4" width="4.625" customWidth="1"/>
    <col min="5" max="5" width="6.375" customWidth="1"/>
    <col min="6" max="6" width="6" customWidth="1"/>
    <col min="7" max="7" width="10.5" customWidth="1"/>
    <col min="8" max="8" width="13" bestFit="1" customWidth="1"/>
    <col min="9" max="9" width="6.875" customWidth="1"/>
    <col min="10" max="10" width="14.125" bestFit="1" customWidth="1"/>
    <col min="11" max="11" width="15.125" bestFit="1" customWidth="1"/>
    <col min="12" max="12" width="14.375" bestFit="1" customWidth="1"/>
    <col min="13" max="13" width="10.375" bestFit="1" customWidth="1"/>
  </cols>
  <sheetData>
    <row r="1" spans="1:7" x14ac:dyDescent="0.2">
      <c r="A1" s="19" t="s">
        <v>1</v>
      </c>
      <c r="B1" t="s">
        <v>244</v>
      </c>
      <c r="C1" t="s">
        <v>245</v>
      </c>
      <c r="D1" t="s">
        <v>246</v>
      </c>
      <c r="E1" t="s">
        <v>247</v>
      </c>
      <c r="F1" t="s">
        <v>248</v>
      </c>
      <c r="G1" t="s">
        <v>249</v>
      </c>
    </row>
    <row r="2" spans="1:7" x14ac:dyDescent="0.2">
      <c r="A2">
        <v>1</v>
      </c>
      <c r="B2" t="s">
        <v>250</v>
      </c>
      <c r="C2" t="s">
        <v>251</v>
      </c>
      <c r="D2" t="s">
        <v>252</v>
      </c>
      <c r="E2" t="s">
        <v>253</v>
      </c>
      <c r="F2" t="s">
        <v>254</v>
      </c>
      <c r="G2" t="s">
        <v>255</v>
      </c>
    </row>
    <row r="3" spans="1:7" x14ac:dyDescent="0.2">
      <c r="A3">
        <v>2</v>
      </c>
      <c r="B3" t="s">
        <v>256</v>
      </c>
      <c r="C3" t="s">
        <v>257</v>
      </c>
      <c r="D3" t="s">
        <v>258</v>
      </c>
      <c r="E3" t="s">
        <v>259</v>
      </c>
      <c r="F3" t="s">
        <v>260</v>
      </c>
      <c r="G3" t="s">
        <v>261</v>
      </c>
    </row>
    <row r="4" spans="1:7" x14ac:dyDescent="0.2">
      <c r="A4">
        <v>4</v>
      </c>
      <c r="B4" t="s">
        <v>262</v>
      </c>
      <c r="C4" t="s">
        <v>263</v>
      </c>
      <c r="D4" t="s">
        <v>264</v>
      </c>
      <c r="E4" t="s">
        <v>265</v>
      </c>
      <c r="F4" t="s">
        <v>261</v>
      </c>
      <c r="G4" t="s">
        <v>266</v>
      </c>
    </row>
    <row r="7" spans="1:7" x14ac:dyDescent="0.2">
      <c r="A7" t="s">
        <v>87</v>
      </c>
    </row>
    <row r="8" spans="1:7" x14ac:dyDescent="0.2">
      <c r="A8" t="s">
        <v>88</v>
      </c>
    </row>
    <row r="9" spans="1:7" x14ac:dyDescent="0.2">
      <c r="A9" t="s">
        <v>89</v>
      </c>
    </row>
    <row r="10" spans="1:7" x14ac:dyDescent="0.2">
      <c r="A10" t="s">
        <v>88</v>
      </c>
    </row>
    <row r="11" spans="1:7" x14ac:dyDescent="0.2">
      <c r="A11" t="s">
        <v>90</v>
      </c>
    </row>
    <row r="12" spans="1:7" x14ac:dyDescent="0.2">
      <c r="A12" t="s">
        <v>91</v>
      </c>
    </row>
    <row r="13" spans="1:7" x14ac:dyDescent="0.2">
      <c r="A13" t="s">
        <v>92</v>
      </c>
    </row>
    <row r="14" spans="1:7" x14ac:dyDescent="0.2">
      <c r="A14" t="s">
        <v>93</v>
      </c>
    </row>
    <row r="15" spans="1:7" x14ac:dyDescent="0.2">
      <c r="A15" t="s">
        <v>94</v>
      </c>
    </row>
    <row r="16" spans="1:7" x14ac:dyDescent="0.2">
      <c r="A16" t="s">
        <v>95</v>
      </c>
    </row>
    <row r="17" spans="1:13" x14ac:dyDescent="0.2">
      <c r="A17" t="s">
        <v>96</v>
      </c>
    </row>
    <row r="18" spans="1:13" x14ac:dyDescent="0.2">
      <c r="A18" t="s">
        <v>97</v>
      </c>
    </row>
    <row r="19" spans="1:13" x14ac:dyDescent="0.2">
      <c r="A19" t="s">
        <v>98</v>
      </c>
    </row>
    <row r="20" spans="1:13" x14ac:dyDescent="0.2">
      <c r="A20" t="s">
        <v>99</v>
      </c>
    </row>
    <row r="21" spans="1:13" x14ac:dyDescent="0.2">
      <c r="A21" t="s">
        <v>100</v>
      </c>
    </row>
    <row r="22" spans="1:13" x14ac:dyDescent="0.2">
      <c r="A22" t="s">
        <v>101</v>
      </c>
    </row>
    <row r="23" spans="1:13" x14ac:dyDescent="0.2">
      <c r="A23" t="s">
        <v>102</v>
      </c>
    </row>
    <row r="24" spans="1:13" x14ac:dyDescent="0.2">
      <c r="A24" t="s">
        <v>103</v>
      </c>
    </row>
    <row r="25" spans="1:13" x14ac:dyDescent="0.2">
      <c r="A25" t="s">
        <v>104</v>
      </c>
    </row>
    <row r="26" spans="1:13" x14ac:dyDescent="0.2">
      <c r="A26" t="s">
        <v>105</v>
      </c>
    </row>
    <row r="27" spans="1:13" x14ac:dyDescent="0.2">
      <c r="A27" t="s">
        <v>106</v>
      </c>
    </row>
    <row r="28" spans="1:13" x14ac:dyDescent="0.2">
      <c r="A28" t="s">
        <v>107</v>
      </c>
    </row>
    <row r="29" spans="1:13" x14ac:dyDescent="0.2">
      <c r="A29" t="s">
        <v>108</v>
      </c>
      <c r="B29" t="s">
        <v>88</v>
      </c>
      <c r="C29" t="s">
        <v>109</v>
      </c>
      <c r="D29" t="s">
        <v>111</v>
      </c>
      <c r="E29" t="s">
        <v>112</v>
      </c>
      <c r="F29" t="s">
        <v>113</v>
      </c>
      <c r="G29" t="s">
        <v>114</v>
      </c>
      <c r="H29" t="s">
        <v>115</v>
      </c>
      <c r="I29" t="s">
        <v>116</v>
      </c>
      <c r="J29" t="s">
        <v>118</v>
      </c>
      <c r="K29" t="s">
        <v>119</v>
      </c>
      <c r="L29" t="s">
        <v>121</v>
      </c>
      <c r="M29" t="s">
        <v>93</v>
      </c>
    </row>
    <row r="30" spans="1:13" x14ac:dyDescent="0.2">
      <c r="C30" t="s">
        <v>110</v>
      </c>
      <c r="D30" t="s">
        <v>110</v>
      </c>
      <c r="I30" t="s">
        <v>117</v>
      </c>
      <c r="K30" t="s">
        <v>120</v>
      </c>
      <c r="M30" t="s">
        <v>122</v>
      </c>
    </row>
    <row r="31" spans="1:13" x14ac:dyDescent="0.2">
      <c r="A31">
        <v>2020</v>
      </c>
      <c r="B31" s="21">
        <v>1380004385</v>
      </c>
      <c r="C31" s="22">
        <v>9.9000000000000008E-3</v>
      </c>
      <c r="D31" s="21">
        <v>13586631</v>
      </c>
      <c r="E31" s="21">
        <v>-532687</v>
      </c>
      <c r="F31">
        <v>28.4</v>
      </c>
      <c r="G31">
        <v>2.2400000000000002</v>
      </c>
      <c r="H31">
        <v>464</v>
      </c>
      <c r="I31" s="22">
        <v>0.35</v>
      </c>
      <c r="J31" s="21">
        <v>483098640</v>
      </c>
      <c r="K31" s="22">
        <v>0.17699999999999999</v>
      </c>
      <c r="L31" s="21">
        <v>7794798739</v>
      </c>
      <c r="M31">
        <v>2</v>
      </c>
    </row>
    <row r="32" spans="1:13" x14ac:dyDescent="0.2">
      <c r="A32">
        <v>2019</v>
      </c>
      <c r="B32" s="21">
        <v>1366417754</v>
      </c>
      <c r="C32" s="22">
        <v>1.0200000000000001E-2</v>
      </c>
      <c r="D32" s="21">
        <v>13775474</v>
      </c>
      <c r="E32" s="21">
        <v>-532687</v>
      </c>
      <c r="F32">
        <v>27.1</v>
      </c>
      <c r="G32">
        <v>2.36</v>
      </c>
      <c r="H32">
        <v>460</v>
      </c>
      <c r="I32" s="22">
        <v>0.34499999999999997</v>
      </c>
      <c r="J32" s="21">
        <v>471828295</v>
      </c>
      <c r="K32" s="22">
        <v>0.17710000000000001</v>
      </c>
      <c r="L32" s="21">
        <v>7713468100</v>
      </c>
      <c r="M32">
        <v>2</v>
      </c>
    </row>
    <row r="33" spans="1:13" x14ac:dyDescent="0.2">
      <c r="A33">
        <v>2018</v>
      </c>
      <c r="B33" s="21">
        <v>1352642280</v>
      </c>
      <c r="C33" s="22">
        <v>1.04E-2</v>
      </c>
      <c r="D33" s="21">
        <v>13965495</v>
      </c>
      <c r="E33" s="21">
        <v>-532687</v>
      </c>
      <c r="F33">
        <v>27.1</v>
      </c>
      <c r="G33">
        <v>2.36</v>
      </c>
      <c r="H33">
        <v>455</v>
      </c>
      <c r="I33" s="22">
        <v>0.34100000000000003</v>
      </c>
      <c r="J33" s="21">
        <v>460779764</v>
      </c>
      <c r="K33" s="22">
        <v>0.17730000000000001</v>
      </c>
      <c r="L33" s="21">
        <v>7631091040</v>
      </c>
      <c r="M33">
        <v>2</v>
      </c>
    </row>
    <row r="34" spans="1:13" x14ac:dyDescent="0.2">
      <c r="A34">
        <v>2017</v>
      </c>
      <c r="B34" s="21">
        <v>1338676785</v>
      </c>
      <c r="C34" s="22">
        <v>1.0699999999999999E-2</v>
      </c>
      <c r="D34" s="21">
        <v>14159536</v>
      </c>
      <c r="E34" s="21">
        <v>-532687</v>
      </c>
      <c r="F34">
        <v>27.1</v>
      </c>
      <c r="G34">
        <v>2.36</v>
      </c>
      <c r="H34">
        <v>450</v>
      </c>
      <c r="I34" s="22">
        <v>0.33600000000000002</v>
      </c>
      <c r="J34" s="21">
        <v>449963381</v>
      </c>
      <c r="K34" s="22">
        <v>0.1774</v>
      </c>
      <c r="L34" s="21">
        <v>7547858925</v>
      </c>
      <c r="M34">
        <v>2</v>
      </c>
    </row>
    <row r="35" spans="1:13" x14ac:dyDescent="0.2">
      <c r="A35">
        <v>2016</v>
      </c>
      <c r="B35" s="21">
        <v>1324517249</v>
      </c>
      <c r="C35" s="22">
        <v>1.0999999999999999E-2</v>
      </c>
      <c r="D35" s="21">
        <v>14364846</v>
      </c>
      <c r="E35" s="21">
        <v>-532687</v>
      </c>
      <c r="F35">
        <v>27.1</v>
      </c>
      <c r="G35">
        <v>2.36</v>
      </c>
      <c r="H35">
        <v>445</v>
      </c>
      <c r="I35" s="22">
        <v>0.33200000000000002</v>
      </c>
      <c r="J35" s="21">
        <v>439391699</v>
      </c>
      <c r="K35" s="22">
        <v>0.17749999999999999</v>
      </c>
      <c r="L35" s="21">
        <v>7464022049</v>
      </c>
      <c r="M35">
        <v>2</v>
      </c>
    </row>
    <row r="36" spans="1:13" x14ac:dyDescent="0.2">
      <c r="A36">
        <v>2015</v>
      </c>
      <c r="B36" s="21">
        <v>1310152403</v>
      </c>
      <c r="C36" s="22">
        <v>1.2E-2</v>
      </c>
      <c r="D36" s="21">
        <v>15174247</v>
      </c>
      <c r="E36" s="21">
        <v>-470015</v>
      </c>
      <c r="F36">
        <v>26.8</v>
      </c>
      <c r="G36">
        <v>2.4</v>
      </c>
      <c r="H36">
        <v>441</v>
      </c>
      <c r="I36" s="22">
        <v>0.32700000000000001</v>
      </c>
      <c r="J36" s="21">
        <v>429069459</v>
      </c>
      <c r="K36" s="22">
        <v>0.17749999999999999</v>
      </c>
      <c r="L36" s="21">
        <v>7379797139</v>
      </c>
      <c r="M36">
        <v>2</v>
      </c>
    </row>
    <row r="37" spans="1:13" x14ac:dyDescent="0.2">
      <c r="A37">
        <v>2010</v>
      </c>
      <c r="B37" s="21">
        <v>1234281170</v>
      </c>
      <c r="C37" s="22">
        <v>1.47E-2</v>
      </c>
      <c r="D37" s="21">
        <v>17334249</v>
      </c>
      <c r="E37" s="21">
        <v>-531169</v>
      </c>
      <c r="F37">
        <v>25.1</v>
      </c>
      <c r="G37">
        <v>2.8</v>
      </c>
      <c r="H37">
        <v>415</v>
      </c>
      <c r="I37" s="22">
        <v>0.308</v>
      </c>
      <c r="J37" s="21">
        <v>380744554</v>
      </c>
      <c r="K37" s="22">
        <v>0.1774</v>
      </c>
      <c r="L37" s="21">
        <v>6956823603</v>
      </c>
      <c r="M37">
        <v>2</v>
      </c>
    </row>
    <row r="38" spans="1:13" x14ac:dyDescent="0.2">
      <c r="A38">
        <v>2005</v>
      </c>
      <c r="B38" s="21">
        <v>1147609927</v>
      </c>
      <c r="C38" s="22">
        <v>1.67E-2</v>
      </c>
      <c r="D38" s="21">
        <v>18206876</v>
      </c>
      <c r="E38" s="21">
        <v>-377797</v>
      </c>
      <c r="F38">
        <v>23.8</v>
      </c>
      <c r="G38">
        <v>3.14</v>
      </c>
      <c r="H38">
        <v>386</v>
      </c>
      <c r="I38" s="22">
        <v>0.29099999999999998</v>
      </c>
      <c r="J38" s="21">
        <v>334479406</v>
      </c>
      <c r="K38" s="22">
        <v>0.1754</v>
      </c>
      <c r="L38" s="21">
        <v>6541907027</v>
      </c>
      <c r="M38">
        <v>2</v>
      </c>
    </row>
    <row r="39" spans="1:13" x14ac:dyDescent="0.2">
      <c r="A39">
        <v>2000</v>
      </c>
      <c r="B39" s="21">
        <v>1056575549</v>
      </c>
      <c r="C39" s="22">
        <v>1.8499999999999999E-2</v>
      </c>
      <c r="D39" s="21">
        <v>18530592</v>
      </c>
      <c r="E39" s="21">
        <v>-136514</v>
      </c>
      <c r="F39">
        <v>22.7</v>
      </c>
      <c r="G39">
        <v>3.48</v>
      </c>
      <c r="H39">
        <v>355</v>
      </c>
      <c r="I39" s="22">
        <v>0.27600000000000002</v>
      </c>
      <c r="J39" s="21">
        <v>291350282</v>
      </c>
      <c r="K39" s="22">
        <v>0.17199999999999999</v>
      </c>
      <c r="L39" s="21">
        <v>6143493823</v>
      </c>
      <c r="M39">
        <v>2</v>
      </c>
    </row>
    <row r="40" spans="1:13" x14ac:dyDescent="0.2">
      <c r="A40">
        <v>1995</v>
      </c>
      <c r="B40" s="21">
        <v>963922588</v>
      </c>
      <c r="C40" s="22">
        <v>1.9900000000000001E-2</v>
      </c>
      <c r="D40" s="21">
        <v>18128958</v>
      </c>
      <c r="E40" s="21">
        <v>-110590</v>
      </c>
      <c r="F40">
        <v>21.8</v>
      </c>
      <c r="G40">
        <v>3.83</v>
      </c>
      <c r="H40">
        <v>324</v>
      </c>
      <c r="I40" s="22">
        <v>0.26500000000000001</v>
      </c>
      <c r="J40" s="21">
        <v>255558824</v>
      </c>
      <c r="K40" s="22">
        <v>0.1678</v>
      </c>
      <c r="L40" s="21">
        <v>5744212979</v>
      </c>
      <c r="M40">
        <v>2</v>
      </c>
    </row>
    <row r="41" spans="1:13" x14ac:dyDescent="0.2">
      <c r="A41">
        <v>1990</v>
      </c>
      <c r="B41" s="21">
        <v>873277798</v>
      </c>
      <c r="C41" s="22">
        <v>2.1700000000000001E-2</v>
      </c>
      <c r="D41" s="21">
        <v>17783558</v>
      </c>
      <c r="E41" s="21">
        <v>9030</v>
      </c>
      <c r="F41">
        <v>21.1</v>
      </c>
      <c r="G41">
        <v>4.2699999999999996</v>
      </c>
      <c r="H41">
        <v>294</v>
      </c>
      <c r="I41" s="22">
        <v>0.255</v>
      </c>
      <c r="J41" s="21">
        <v>222296728</v>
      </c>
      <c r="K41" s="22">
        <v>0.16389999999999999</v>
      </c>
      <c r="L41" s="21">
        <v>5327231061</v>
      </c>
      <c r="M41">
        <v>2</v>
      </c>
    </row>
    <row r="42" spans="1:13" x14ac:dyDescent="0.2">
      <c r="A42">
        <v>1985</v>
      </c>
      <c r="B42" s="21">
        <v>784360008</v>
      </c>
      <c r="C42" s="22">
        <v>2.3300000000000001E-2</v>
      </c>
      <c r="D42" s="21">
        <v>17081433</v>
      </c>
      <c r="E42" s="21">
        <v>115942</v>
      </c>
      <c r="F42">
        <v>20.6</v>
      </c>
      <c r="G42">
        <v>4.68</v>
      </c>
      <c r="H42">
        <v>264</v>
      </c>
      <c r="I42" s="22">
        <v>0.24299999999999999</v>
      </c>
      <c r="J42" s="21">
        <v>190321782</v>
      </c>
      <c r="K42" s="22">
        <v>0.161</v>
      </c>
      <c r="L42" s="21">
        <v>4870921740</v>
      </c>
      <c r="M42">
        <v>2</v>
      </c>
    </row>
    <row r="43" spans="1:13" x14ac:dyDescent="0.2">
      <c r="A43">
        <v>1980</v>
      </c>
      <c r="B43" s="21">
        <v>698952844</v>
      </c>
      <c r="C43" s="22">
        <v>2.3199999999999998E-2</v>
      </c>
      <c r="D43" s="21">
        <v>15169989</v>
      </c>
      <c r="E43" s="21">
        <v>222247</v>
      </c>
      <c r="F43">
        <v>20.2</v>
      </c>
      <c r="G43">
        <v>4.97</v>
      </c>
      <c r="H43">
        <v>235</v>
      </c>
      <c r="I43" s="22">
        <v>0.23</v>
      </c>
      <c r="J43" s="21">
        <v>160941941</v>
      </c>
      <c r="K43" s="22">
        <v>0.15679999999999999</v>
      </c>
      <c r="L43" s="21">
        <v>4458003514</v>
      </c>
      <c r="M43">
        <v>2</v>
      </c>
    </row>
    <row r="44" spans="1:13" x14ac:dyDescent="0.2">
      <c r="A44">
        <v>1975</v>
      </c>
      <c r="B44" s="21">
        <v>623102897</v>
      </c>
      <c r="C44" s="22">
        <v>2.3300000000000001E-2</v>
      </c>
      <c r="D44" s="21">
        <v>13582621</v>
      </c>
      <c r="E44" s="21">
        <v>421208</v>
      </c>
      <c r="F44">
        <v>19.7</v>
      </c>
      <c r="G44">
        <v>5.41</v>
      </c>
      <c r="H44">
        <v>210</v>
      </c>
      <c r="I44" s="22">
        <v>0.21299999999999999</v>
      </c>
      <c r="J44" s="21">
        <v>132533810</v>
      </c>
      <c r="K44" s="22">
        <v>0.1527</v>
      </c>
      <c r="L44" s="21">
        <v>4079480606</v>
      </c>
      <c r="M44">
        <v>2</v>
      </c>
    </row>
    <row r="45" spans="1:13" x14ac:dyDescent="0.2">
      <c r="A45">
        <v>1970</v>
      </c>
      <c r="B45" s="21">
        <v>555189792</v>
      </c>
      <c r="C45" s="22">
        <v>2.1499999999999998E-2</v>
      </c>
      <c r="D45" s="21">
        <v>11213294</v>
      </c>
      <c r="E45" s="21">
        <v>-68569</v>
      </c>
      <c r="F45">
        <v>19.3</v>
      </c>
      <c r="G45">
        <v>5.72</v>
      </c>
      <c r="H45">
        <v>187</v>
      </c>
      <c r="I45" s="22">
        <v>0.19700000000000001</v>
      </c>
      <c r="J45" s="21">
        <v>109388950</v>
      </c>
      <c r="K45" s="22">
        <v>0.15</v>
      </c>
      <c r="L45" s="21">
        <v>3700437046</v>
      </c>
      <c r="M45">
        <v>2</v>
      </c>
    </row>
    <row r="46" spans="1:13" x14ac:dyDescent="0.2">
      <c r="A46">
        <v>1965</v>
      </c>
      <c r="B46" s="21">
        <v>499123324</v>
      </c>
      <c r="C46" s="22">
        <v>2.07E-2</v>
      </c>
      <c r="D46" s="21">
        <v>9715129</v>
      </c>
      <c r="E46" s="21">
        <v>-17078</v>
      </c>
      <c r="F46">
        <v>19.600000000000001</v>
      </c>
      <c r="G46">
        <v>5.89</v>
      </c>
      <c r="H46">
        <v>168</v>
      </c>
      <c r="I46" s="22">
        <v>0.187</v>
      </c>
      <c r="J46" s="21">
        <v>93493844</v>
      </c>
      <c r="K46" s="22">
        <v>0.14949999999999999</v>
      </c>
      <c r="L46" s="21">
        <v>3339583597</v>
      </c>
      <c r="M46">
        <v>2</v>
      </c>
    </row>
    <row r="47" spans="1:13" x14ac:dyDescent="0.2">
      <c r="A47">
        <v>1960</v>
      </c>
      <c r="B47" s="21">
        <v>450547679</v>
      </c>
      <c r="C47" s="22">
        <v>1.9099999999999999E-2</v>
      </c>
      <c r="D47" s="21">
        <v>8133417</v>
      </c>
      <c r="E47" s="21">
        <v>-30805</v>
      </c>
      <c r="F47">
        <v>20.2</v>
      </c>
      <c r="G47">
        <v>5.9</v>
      </c>
      <c r="H47">
        <v>152</v>
      </c>
      <c r="I47" s="22">
        <v>0.17899999999999999</v>
      </c>
      <c r="J47" s="21">
        <v>80565723</v>
      </c>
      <c r="K47" s="22">
        <v>0.14849999999999999</v>
      </c>
      <c r="L47" s="21">
        <v>3034949748</v>
      </c>
      <c r="M47">
        <v>2</v>
      </c>
    </row>
    <row r="48" spans="1:13" x14ac:dyDescent="0.2">
      <c r="A48">
        <v>1955</v>
      </c>
      <c r="B48" s="21">
        <v>409880595</v>
      </c>
      <c r="C48" s="22">
        <v>1.72E-2</v>
      </c>
      <c r="D48" s="21">
        <v>6711079</v>
      </c>
      <c r="E48" s="21">
        <v>-21140</v>
      </c>
      <c r="F48">
        <v>20.7</v>
      </c>
      <c r="G48">
        <v>5.9</v>
      </c>
      <c r="H48">
        <v>138</v>
      </c>
      <c r="I48" s="22">
        <v>0.17599999999999999</v>
      </c>
      <c r="J48" s="21">
        <v>71958495</v>
      </c>
      <c r="K48" s="22">
        <v>0.14779999999999999</v>
      </c>
      <c r="L48" s="21">
        <v>2773019936</v>
      </c>
      <c r="M48">
        <v>2</v>
      </c>
    </row>
    <row r="49" spans="1:13" x14ac:dyDescent="0.2">
      <c r="A49" t="s">
        <v>123</v>
      </c>
    </row>
    <row r="50" spans="1:13" x14ac:dyDescent="0.2">
      <c r="A50" t="s">
        <v>124</v>
      </c>
    </row>
    <row r="51" spans="1:13" x14ac:dyDescent="0.2">
      <c r="A51" t="s">
        <v>125</v>
      </c>
    </row>
    <row r="54" spans="1:13" x14ac:dyDescent="0.2">
      <c r="A54" t="s">
        <v>126</v>
      </c>
    </row>
    <row r="55" spans="1:13" x14ac:dyDescent="0.2">
      <c r="A55" s="21">
        <v>-413437</v>
      </c>
    </row>
    <row r="56" spans="1:13" x14ac:dyDescent="0.2">
      <c r="A56" t="s">
        <v>108</v>
      </c>
      <c r="B56" t="s">
        <v>88</v>
      </c>
      <c r="C56" t="s">
        <v>109</v>
      </c>
      <c r="D56" t="s">
        <v>111</v>
      </c>
      <c r="E56" t="s">
        <v>112</v>
      </c>
      <c r="F56" t="s">
        <v>113</v>
      </c>
      <c r="G56" t="s">
        <v>114</v>
      </c>
      <c r="H56" t="s">
        <v>115</v>
      </c>
      <c r="I56" t="s">
        <v>116</v>
      </c>
      <c r="J56" t="s">
        <v>118</v>
      </c>
      <c r="K56" t="s">
        <v>119</v>
      </c>
      <c r="L56" t="s">
        <v>121</v>
      </c>
      <c r="M56" t="s">
        <v>93</v>
      </c>
    </row>
    <row r="57" spans="1:13" x14ac:dyDescent="0.2">
      <c r="C57" t="s">
        <v>110</v>
      </c>
      <c r="D57" t="s">
        <v>110</v>
      </c>
      <c r="I57" t="s">
        <v>117</v>
      </c>
      <c r="K57" t="s">
        <v>120</v>
      </c>
      <c r="M57" t="s">
        <v>122</v>
      </c>
    </row>
    <row r="59" spans="1:13" x14ac:dyDescent="0.2">
      <c r="A59">
        <v>2020</v>
      </c>
      <c r="B59" s="21">
        <v>1380004385</v>
      </c>
      <c r="C59" s="22">
        <v>1.04E-2</v>
      </c>
      <c r="D59" s="21">
        <v>13970396</v>
      </c>
      <c r="E59" s="21">
        <v>-532687</v>
      </c>
      <c r="F59">
        <v>28.4</v>
      </c>
      <c r="G59">
        <v>2.2400000000000002</v>
      </c>
      <c r="H59">
        <v>464</v>
      </c>
      <c r="I59" s="22">
        <v>0.35</v>
      </c>
      <c r="J59" s="21">
        <v>483098640</v>
      </c>
      <c r="K59" s="22">
        <v>0.17699999999999999</v>
      </c>
      <c r="L59" s="21">
        <v>7794798739</v>
      </c>
      <c r="M59">
        <v>2</v>
      </c>
    </row>
    <row r="60" spans="1:13" x14ac:dyDescent="0.2">
      <c r="A60">
        <v>2025</v>
      </c>
      <c r="B60" s="21">
        <v>1445011620</v>
      </c>
      <c r="C60" s="22">
        <v>9.1999999999999998E-3</v>
      </c>
      <c r="D60" s="21">
        <v>13001447</v>
      </c>
      <c r="E60" s="21">
        <v>-464081</v>
      </c>
      <c r="F60">
        <v>30</v>
      </c>
      <c r="G60">
        <v>2.2400000000000002</v>
      </c>
      <c r="H60">
        <v>486</v>
      </c>
      <c r="I60" s="22">
        <v>0.376</v>
      </c>
      <c r="J60" s="21">
        <v>542742539</v>
      </c>
      <c r="K60" s="22">
        <v>0.17660000000000001</v>
      </c>
      <c r="L60" s="21">
        <v>8184437460</v>
      </c>
      <c r="M60">
        <v>2</v>
      </c>
    </row>
    <row r="61" spans="1:13" x14ac:dyDescent="0.2">
      <c r="A61">
        <v>2030</v>
      </c>
      <c r="B61" s="21">
        <v>1503642322</v>
      </c>
      <c r="C61" s="22">
        <v>8.0000000000000002E-3</v>
      </c>
      <c r="D61" s="21">
        <v>11726140</v>
      </c>
      <c r="E61" s="21">
        <v>-440124</v>
      </c>
      <c r="F61">
        <v>31.7</v>
      </c>
      <c r="G61">
        <v>2.2400000000000002</v>
      </c>
      <c r="H61">
        <v>506</v>
      </c>
      <c r="I61" s="22">
        <v>0.40400000000000003</v>
      </c>
      <c r="J61" s="21">
        <v>607341981</v>
      </c>
      <c r="K61" s="22">
        <v>0.1759</v>
      </c>
      <c r="L61" s="21">
        <v>8548487400</v>
      </c>
      <c r="M61">
        <v>1</v>
      </c>
    </row>
    <row r="62" spans="1:13" x14ac:dyDescent="0.2">
      <c r="A62">
        <v>2035</v>
      </c>
      <c r="B62" s="21">
        <v>1553723810</v>
      </c>
      <c r="C62" s="22">
        <v>6.6E-3</v>
      </c>
      <c r="D62" s="21">
        <v>10016298</v>
      </c>
      <c r="E62" s="21">
        <v>-415732</v>
      </c>
      <c r="F62">
        <v>33.299999999999997</v>
      </c>
      <c r="G62">
        <v>2.2400000000000002</v>
      </c>
      <c r="H62">
        <v>523</v>
      </c>
      <c r="I62" s="22">
        <v>0.435</v>
      </c>
      <c r="J62" s="21">
        <v>675456367</v>
      </c>
      <c r="K62" s="22">
        <v>0.17480000000000001</v>
      </c>
      <c r="L62" s="21">
        <v>8887524213</v>
      </c>
      <c r="M62">
        <v>1</v>
      </c>
    </row>
    <row r="63" spans="1:13" x14ac:dyDescent="0.2">
      <c r="A63">
        <v>2040</v>
      </c>
      <c r="B63" s="21">
        <v>1592691513</v>
      </c>
      <c r="C63" s="22">
        <v>5.0000000000000001E-3</v>
      </c>
      <c r="D63" s="21">
        <v>7793541</v>
      </c>
      <c r="E63" s="21">
        <v>-415736</v>
      </c>
      <c r="F63">
        <v>35</v>
      </c>
      <c r="G63">
        <v>2.2400000000000002</v>
      </c>
      <c r="H63">
        <v>536</v>
      </c>
      <c r="I63" s="22">
        <v>0.46700000000000003</v>
      </c>
      <c r="J63" s="21">
        <v>744380367</v>
      </c>
      <c r="K63" s="22">
        <v>0.1731</v>
      </c>
      <c r="L63" s="21">
        <v>9198847240</v>
      </c>
      <c r="M63">
        <v>1</v>
      </c>
    </row>
    <row r="64" spans="1:13" x14ac:dyDescent="0.2">
      <c r="A64">
        <v>2045</v>
      </c>
      <c r="B64" s="21">
        <v>1620619200</v>
      </c>
      <c r="C64" s="22">
        <v>3.5000000000000001E-3</v>
      </c>
      <c r="D64" s="21">
        <v>5585537</v>
      </c>
      <c r="E64" s="21">
        <v>-414772</v>
      </c>
      <c r="F64">
        <v>36.6</v>
      </c>
      <c r="G64">
        <v>2.2400000000000002</v>
      </c>
      <c r="H64">
        <v>545</v>
      </c>
      <c r="I64" s="22">
        <v>0.501</v>
      </c>
      <c r="J64" s="21">
        <v>811749463</v>
      </c>
      <c r="K64" s="22">
        <v>0.1709</v>
      </c>
      <c r="L64" s="21">
        <v>9481803274</v>
      </c>
      <c r="M64">
        <v>1</v>
      </c>
    </row>
    <row r="65" spans="1:13" x14ac:dyDescent="0.2">
      <c r="A65">
        <v>2050</v>
      </c>
      <c r="B65" s="21">
        <v>1639176033</v>
      </c>
      <c r="C65" s="22">
        <v>2.3E-3</v>
      </c>
      <c r="D65" s="21">
        <v>3711367</v>
      </c>
      <c r="F65">
        <v>38.1</v>
      </c>
      <c r="G65">
        <v>2.2400000000000002</v>
      </c>
      <c r="H65">
        <v>551</v>
      </c>
      <c r="I65" s="22">
        <v>0.53500000000000003</v>
      </c>
      <c r="J65" s="21">
        <v>876613025</v>
      </c>
      <c r="K65" s="22">
        <v>0.16839999999999999</v>
      </c>
      <c r="L65" s="21">
        <v>9735033990</v>
      </c>
      <c r="M65">
        <v>1</v>
      </c>
    </row>
    <row r="66" spans="1:13" x14ac:dyDescent="0.2">
      <c r="A66" t="s">
        <v>123</v>
      </c>
    </row>
    <row r="67" spans="1:13" x14ac:dyDescent="0.2">
      <c r="A67" t="s">
        <v>124</v>
      </c>
    </row>
    <row r="68" spans="1:13" x14ac:dyDescent="0.2">
      <c r="A68" t="s">
        <v>127</v>
      </c>
    </row>
    <row r="69" spans="1:13" x14ac:dyDescent="0.2">
      <c r="A69" t="s">
        <v>128</v>
      </c>
    </row>
    <row r="70" spans="1:13" x14ac:dyDescent="0.2">
      <c r="A70" t="s">
        <v>129</v>
      </c>
    </row>
    <row r="71" spans="1:13" x14ac:dyDescent="0.2">
      <c r="A71" t="s">
        <v>130</v>
      </c>
    </row>
    <row r="72" spans="1:13" x14ac:dyDescent="0.2">
      <c r="A72" t="s">
        <v>131</v>
      </c>
    </row>
    <row r="73" spans="1:13" x14ac:dyDescent="0.2">
      <c r="A73" t="s">
        <v>132</v>
      </c>
    </row>
    <row r="74" spans="1:13" x14ac:dyDescent="0.2">
      <c r="A74" t="s">
        <v>133</v>
      </c>
    </row>
    <row r="75" spans="1:13" x14ac:dyDescent="0.2">
      <c r="A75">
        <v>26.6</v>
      </c>
    </row>
    <row r="76" spans="1:13" x14ac:dyDescent="0.2">
      <c r="A76" t="s">
        <v>134</v>
      </c>
    </row>
    <row r="77" spans="1:13" x14ac:dyDescent="0.2">
      <c r="A77" t="s">
        <v>135</v>
      </c>
    </row>
    <row r="78" spans="1:13" x14ac:dyDescent="0.2">
      <c r="A78" t="s">
        <v>136</v>
      </c>
    </row>
    <row r="79" spans="1:13" x14ac:dyDescent="0.2">
      <c r="A79">
        <v>32.9</v>
      </c>
    </row>
    <row r="80" spans="1:13" x14ac:dyDescent="0.2">
      <c r="A80" t="s">
        <v>137</v>
      </c>
    </row>
    <row r="81" spans="1:3" x14ac:dyDescent="0.2">
      <c r="A81" t="s">
        <v>135</v>
      </c>
    </row>
    <row r="82" spans="1:3" x14ac:dyDescent="0.2">
      <c r="A82" t="s">
        <v>138</v>
      </c>
    </row>
    <row r="83" spans="1:3" x14ac:dyDescent="0.2">
      <c r="A83" t="s">
        <v>139</v>
      </c>
    </row>
    <row r="84" spans="1:3" x14ac:dyDescent="0.2">
      <c r="A84" t="s">
        <v>140</v>
      </c>
      <c r="B84" t="s">
        <v>141</v>
      </c>
      <c r="C84" t="s">
        <v>142</v>
      </c>
    </row>
    <row r="85" spans="1:3" x14ac:dyDescent="0.2">
      <c r="A85">
        <v>1</v>
      </c>
      <c r="B85" t="s">
        <v>75</v>
      </c>
      <c r="C85" s="21">
        <v>12691836</v>
      </c>
    </row>
    <row r="86" spans="1:3" x14ac:dyDescent="0.2">
      <c r="A86">
        <v>2</v>
      </c>
      <c r="B86" t="s">
        <v>76</v>
      </c>
      <c r="C86" s="21">
        <v>10927986</v>
      </c>
    </row>
    <row r="87" spans="1:3" x14ac:dyDescent="0.2">
      <c r="A87">
        <v>3</v>
      </c>
      <c r="B87" t="s">
        <v>143</v>
      </c>
      <c r="C87" s="21">
        <v>5104047</v>
      </c>
    </row>
    <row r="88" spans="1:3" x14ac:dyDescent="0.2">
      <c r="A88">
        <v>4</v>
      </c>
      <c r="B88" t="s">
        <v>144</v>
      </c>
      <c r="C88" s="21">
        <v>4631392</v>
      </c>
    </row>
    <row r="89" spans="1:3" x14ac:dyDescent="0.2">
      <c r="A89">
        <v>5</v>
      </c>
      <c r="B89" t="s">
        <v>145</v>
      </c>
      <c r="C89" s="21">
        <v>4328063</v>
      </c>
    </row>
    <row r="90" spans="1:3" x14ac:dyDescent="0.2">
      <c r="A90">
        <v>6</v>
      </c>
      <c r="B90" t="s">
        <v>146</v>
      </c>
      <c r="C90" s="21">
        <v>3719710</v>
      </c>
    </row>
    <row r="91" spans="1:3" x14ac:dyDescent="0.2">
      <c r="A91">
        <v>7</v>
      </c>
      <c r="B91" t="s">
        <v>147</v>
      </c>
      <c r="C91" s="21">
        <v>3597816</v>
      </c>
    </row>
    <row r="92" spans="1:3" x14ac:dyDescent="0.2">
      <c r="A92">
        <v>8</v>
      </c>
      <c r="B92" t="s">
        <v>77</v>
      </c>
      <c r="C92" s="21">
        <v>2935744</v>
      </c>
    </row>
    <row r="93" spans="1:3" x14ac:dyDescent="0.2">
      <c r="A93">
        <v>9</v>
      </c>
      <c r="B93" t="s">
        <v>148</v>
      </c>
      <c r="C93" s="21">
        <v>2894504</v>
      </c>
    </row>
    <row r="94" spans="1:3" x14ac:dyDescent="0.2">
      <c r="A94">
        <v>10</v>
      </c>
      <c r="B94" t="s">
        <v>149</v>
      </c>
      <c r="C94" s="21">
        <v>2823249</v>
      </c>
    </row>
    <row r="95" spans="1:3" x14ac:dyDescent="0.2">
      <c r="A95">
        <v>11</v>
      </c>
      <c r="B95" t="s">
        <v>150</v>
      </c>
      <c r="C95" s="21">
        <v>2711758</v>
      </c>
    </row>
    <row r="96" spans="1:3" x14ac:dyDescent="0.2">
      <c r="A96">
        <v>12</v>
      </c>
      <c r="B96" t="s">
        <v>151</v>
      </c>
      <c r="C96" s="21">
        <v>2600000</v>
      </c>
    </row>
    <row r="97" spans="1:3" x14ac:dyDescent="0.2">
      <c r="A97">
        <v>13</v>
      </c>
      <c r="B97" t="s">
        <v>152</v>
      </c>
      <c r="C97" s="21">
        <v>2472011</v>
      </c>
    </row>
    <row r="98" spans="1:3" x14ac:dyDescent="0.2">
      <c r="A98">
        <v>14</v>
      </c>
      <c r="B98" t="s">
        <v>78</v>
      </c>
      <c r="C98" s="21">
        <v>2228018</v>
      </c>
    </row>
    <row r="99" spans="1:3" x14ac:dyDescent="0.2">
      <c r="A99">
        <v>15</v>
      </c>
      <c r="B99" t="s">
        <v>153</v>
      </c>
      <c r="C99" s="21">
        <v>1837041</v>
      </c>
    </row>
    <row r="100" spans="1:3" x14ac:dyDescent="0.2">
      <c r="A100">
        <v>16</v>
      </c>
      <c r="B100" t="s">
        <v>154</v>
      </c>
      <c r="C100" s="21">
        <v>1599920</v>
      </c>
    </row>
    <row r="101" spans="1:3" x14ac:dyDescent="0.2">
      <c r="A101">
        <v>17</v>
      </c>
      <c r="B101" t="s">
        <v>155</v>
      </c>
      <c r="C101" s="21">
        <v>1599914</v>
      </c>
    </row>
    <row r="102" spans="1:3" x14ac:dyDescent="0.2">
      <c r="A102">
        <v>18</v>
      </c>
      <c r="B102" t="s">
        <v>156</v>
      </c>
      <c r="C102" s="21">
        <v>1545368</v>
      </c>
    </row>
    <row r="103" spans="1:3" x14ac:dyDescent="0.2">
      <c r="A103">
        <v>19</v>
      </c>
      <c r="B103" t="s">
        <v>157</v>
      </c>
      <c r="C103" s="21">
        <v>1435844</v>
      </c>
    </row>
    <row r="104" spans="1:3" x14ac:dyDescent="0.2">
      <c r="A104">
        <v>20</v>
      </c>
      <c r="B104" t="s">
        <v>158</v>
      </c>
      <c r="C104" s="21">
        <v>1430055</v>
      </c>
    </row>
    <row r="105" spans="1:3" x14ac:dyDescent="0.2">
      <c r="A105">
        <v>21</v>
      </c>
      <c r="B105" t="s">
        <v>159</v>
      </c>
      <c r="C105" s="21">
        <v>1409476</v>
      </c>
    </row>
    <row r="106" spans="1:3" x14ac:dyDescent="0.2">
      <c r="A106">
        <v>22</v>
      </c>
      <c r="B106" t="s">
        <v>160</v>
      </c>
      <c r="C106" s="21">
        <v>1324570</v>
      </c>
    </row>
    <row r="107" spans="1:3" x14ac:dyDescent="0.2">
      <c r="A107">
        <v>23</v>
      </c>
      <c r="B107" t="s">
        <v>161</v>
      </c>
      <c r="C107" s="21">
        <v>1289497</v>
      </c>
    </row>
    <row r="108" spans="1:3" x14ac:dyDescent="0.2">
      <c r="A108">
        <v>24</v>
      </c>
      <c r="B108" t="s">
        <v>162</v>
      </c>
      <c r="C108" s="21">
        <v>1284606</v>
      </c>
    </row>
    <row r="109" spans="1:3" x14ac:dyDescent="0.2">
      <c r="A109">
        <v>25</v>
      </c>
      <c r="B109" t="s">
        <v>163</v>
      </c>
      <c r="C109" s="21">
        <v>1262255</v>
      </c>
    </row>
    <row r="110" spans="1:3" x14ac:dyDescent="0.2">
      <c r="A110">
        <v>26</v>
      </c>
      <c r="B110" t="s">
        <v>164</v>
      </c>
      <c r="C110" s="21">
        <v>1261517</v>
      </c>
    </row>
    <row r="111" spans="1:3" x14ac:dyDescent="0.2">
      <c r="A111">
        <v>27</v>
      </c>
      <c r="B111" t="s">
        <v>165</v>
      </c>
      <c r="C111" s="21">
        <v>1223184</v>
      </c>
    </row>
    <row r="112" spans="1:3" x14ac:dyDescent="0.2">
      <c r="A112">
        <v>28</v>
      </c>
      <c r="B112" t="s">
        <v>166</v>
      </c>
      <c r="C112" s="21">
        <v>1220946</v>
      </c>
    </row>
    <row r="113" spans="1:3" x14ac:dyDescent="0.2">
      <c r="A113">
        <v>29</v>
      </c>
      <c r="B113" t="s">
        <v>167</v>
      </c>
      <c r="C113" s="21">
        <v>1220229</v>
      </c>
    </row>
    <row r="114" spans="1:3" x14ac:dyDescent="0.2">
      <c r="A114">
        <v>30</v>
      </c>
      <c r="B114" t="s">
        <v>168</v>
      </c>
      <c r="C114" s="21">
        <v>1199191</v>
      </c>
    </row>
    <row r="115" spans="1:3" x14ac:dyDescent="0.2">
      <c r="A115">
        <v>31</v>
      </c>
      <c r="B115" t="s">
        <v>169</v>
      </c>
      <c r="C115" s="21">
        <v>1193000</v>
      </c>
    </row>
    <row r="116" spans="1:3" x14ac:dyDescent="0.2">
      <c r="A116">
        <v>32</v>
      </c>
      <c r="B116" t="s">
        <v>170</v>
      </c>
      <c r="C116" s="21">
        <v>1177362</v>
      </c>
    </row>
    <row r="117" spans="1:3" x14ac:dyDescent="0.2">
      <c r="A117">
        <v>33</v>
      </c>
      <c r="B117" t="s">
        <v>171</v>
      </c>
      <c r="C117" s="21">
        <v>1164404</v>
      </c>
    </row>
    <row r="118" spans="1:3" x14ac:dyDescent="0.2">
      <c r="A118">
        <v>34</v>
      </c>
      <c r="B118" t="s">
        <v>172</v>
      </c>
      <c r="C118" s="21">
        <v>1092450</v>
      </c>
    </row>
    <row r="119" spans="1:3" x14ac:dyDescent="0.2">
      <c r="A119">
        <v>35</v>
      </c>
      <c r="B119" t="s">
        <v>173</v>
      </c>
      <c r="C119" s="21">
        <v>1073438</v>
      </c>
    </row>
    <row r="120" spans="1:3" x14ac:dyDescent="0.2">
      <c r="A120">
        <v>36</v>
      </c>
      <c r="B120" t="s">
        <v>174</v>
      </c>
      <c r="C120" s="21">
        <v>1063178</v>
      </c>
    </row>
    <row r="121" spans="1:3" x14ac:dyDescent="0.2">
      <c r="A121">
        <v>37</v>
      </c>
      <c r="B121" t="s">
        <v>175</v>
      </c>
      <c r="C121" s="21">
        <v>1034724</v>
      </c>
    </row>
    <row r="122" spans="1:3" x14ac:dyDescent="0.2">
      <c r="A122">
        <v>38</v>
      </c>
      <c r="B122" t="s">
        <v>176</v>
      </c>
      <c r="C122" s="21">
        <v>1030168</v>
      </c>
    </row>
    <row r="123" spans="1:3" x14ac:dyDescent="0.2">
      <c r="A123">
        <v>39</v>
      </c>
      <c r="B123" t="s">
        <v>177</v>
      </c>
      <c r="C123" s="21">
        <v>1027672</v>
      </c>
    </row>
    <row r="124" spans="1:3" x14ac:dyDescent="0.2">
      <c r="A124">
        <v>40</v>
      </c>
      <c r="B124" t="s">
        <v>178</v>
      </c>
      <c r="C124" s="21">
        <v>1016441</v>
      </c>
    </row>
    <row r="125" spans="1:3" x14ac:dyDescent="0.2">
      <c r="A125">
        <v>41</v>
      </c>
      <c r="B125" t="s">
        <v>179</v>
      </c>
      <c r="C125" s="21">
        <v>1000000</v>
      </c>
    </row>
    <row r="126" spans="1:3" x14ac:dyDescent="0.2">
      <c r="A126">
        <v>42</v>
      </c>
      <c r="B126" t="s">
        <v>180</v>
      </c>
      <c r="C126" s="21">
        <v>997281</v>
      </c>
    </row>
    <row r="127" spans="1:3" x14ac:dyDescent="0.2">
      <c r="A127">
        <v>43</v>
      </c>
      <c r="B127" t="s">
        <v>181</v>
      </c>
      <c r="C127" s="21">
        <v>975857</v>
      </c>
    </row>
    <row r="128" spans="1:3" x14ac:dyDescent="0.2">
      <c r="A128">
        <v>44</v>
      </c>
      <c r="B128" t="s">
        <v>182</v>
      </c>
      <c r="C128" s="21">
        <v>960787</v>
      </c>
    </row>
    <row r="129" spans="1:3" x14ac:dyDescent="0.2">
      <c r="A129">
        <v>45</v>
      </c>
      <c r="B129" t="s">
        <v>183</v>
      </c>
      <c r="C129" s="21">
        <v>959823</v>
      </c>
    </row>
    <row r="130" spans="1:3" x14ac:dyDescent="0.2">
      <c r="A130">
        <v>46</v>
      </c>
      <c r="B130" t="s">
        <v>184</v>
      </c>
      <c r="C130" s="21">
        <v>921476</v>
      </c>
    </row>
    <row r="131" spans="1:3" x14ac:dyDescent="0.2">
      <c r="A131">
        <v>47</v>
      </c>
      <c r="B131" t="s">
        <v>185</v>
      </c>
      <c r="C131" s="21">
        <v>909908</v>
      </c>
    </row>
    <row r="132" spans="1:3" x14ac:dyDescent="0.2">
      <c r="A132">
        <v>48</v>
      </c>
      <c r="B132" t="s">
        <v>186</v>
      </c>
      <c r="C132" s="21">
        <v>899094</v>
      </c>
    </row>
    <row r="133" spans="1:3" x14ac:dyDescent="0.2">
      <c r="A133">
        <v>49</v>
      </c>
      <c r="B133" t="s">
        <v>187</v>
      </c>
      <c r="C133" s="21">
        <v>882458</v>
      </c>
    </row>
    <row r="134" spans="1:3" x14ac:dyDescent="0.2">
      <c r="A134">
        <v>50</v>
      </c>
      <c r="B134" t="s">
        <v>188</v>
      </c>
      <c r="C134" s="21">
        <v>874587</v>
      </c>
    </row>
    <row r="135" spans="1:3" x14ac:dyDescent="0.2">
      <c r="A135">
        <v>51</v>
      </c>
      <c r="B135" t="s">
        <v>189</v>
      </c>
      <c r="C135" s="21">
        <v>868313</v>
      </c>
    </row>
    <row r="136" spans="1:3" x14ac:dyDescent="0.2">
      <c r="A136">
        <v>52</v>
      </c>
      <c r="B136" t="s">
        <v>190</v>
      </c>
      <c r="C136" s="21">
        <v>846454</v>
      </c>
    </row>
    <row r="137" spans="1:3" x14ac:dyDescent="0.2">
      <c r="A137">
        <v>53</v>
      </c>
      <c r="B137" t="s">
        <v>191</v>
      </c>
      <c r="C137" s="21">
        <v>840214</v>
      </c>
    </row>
    <row r="138" spans="1:3" x14ac:dyDescent="0.2">
      <c r="A138">
        <v>54</v>
      </c>
      <c r="B138" t="s">
        <v>192</v>
      </c>
      <c r="C138" s="21">
        <v>785178</v>
      </c>
    </row>
    <row r="139" spans="1:3" x14ac:dyDescent="0.2">
      <c r="A139">
        <v>55</v>
      </c>
      <c r="B139" t="s">
        <v>193</v>
      </c>
      <c r="C139" s="21">
        <v>784153</v>
      </c>
    </row>
    <row r="140" spans="1:3" x14ac:dyDescent="0.2">
      <c r="A140">
        <v>56</v>
      </c>
      <c r="B140" t="s">
        <v>194</v>
      </c>
      <c r="C140" s="21">
        <v>778396</v>
      </c>
    </row>
    <row r="141" spans="1:3" x14ac:dyDescent="0.2">
      <c r="A141">
        <v>57</v>
      </c>
      <c r="B141" t="s">
        <v>195</v>
      </c>
      <c r="C141" s="21">
        <v>775484</v>
      </c>
    </row>
    <row r="142" spans="1:3" x14ac:dyDescent="0.2">
      <c r="A142">
        <v>58</v>
      </c>
      <c r="B142" t="s">
        <v>196</v>
      </c>
      <c r="C142" s="21">
        <v>763088</v>
      </c>
    </row>
    <row r="143" spans="1:3" x14ac:dyDescent="0.2">
      <c r="A143">
        <v>59</v>
      </c>
      <c r="B143" t="s">
        <v>197</v>
      </c>
      <c r="C143" s="21">
        <v>762243</v>
      </c>
    </row>
    <row r="144" spans="1:3" x14ac:dyDescent="0.2">
      <c r="A144">
        <v>60</v>
      </c>
      <c r="B144" t="s">
        <v>198</v>
      </c>
      <c r="C144" s="21">
        <v>753207</v>
      </c>
    </row>
    <row r="145" spans="1:3" x14ac:dyDescent="0.2">
      <c r="A145">
        <v>61</v>
      </c>
      <c r="B145" t="s">
        <v>199</v>
      </c>
      <c r="C145" s="21">
        <v>745435</v>
      </c>
    </row>
    <row r="146" spans="1:3" x14ac:dyDescent="0.2">
      <c r="A146">
        <v>62</v>
      </c>
      <c r="B146" t="s">
        <v>200</v>
      </c>
      <c r="C146" s="21">
        <v>721139</v>
      </c>
    </row>
    <row r="147" spans="1:3" x14ac:dyDescent="0.2">
      <c r="A147">
        <v>63</v>
      </c>
      <c r="B147" t="s">
        <v>201</v>
      </c>
      <c r="C147" s="21">
        <v>707035</v>
      </c>
    </row>
    <row r="148" spans="1:3" x14ac:dyDescent="0.2">
      <c r="A148">
        <v>64</v>
      </c>
      <c r="B148" t="s">
        <v>202</v>
      </c>
      <c r="C148" s="21">
        <v>679995</v>
      </c>
    </row>
    <row r="149" spans="1:3" x14ac:dyDescent="0.2">
      <c r="A149">
        <v>65</v>
      </c>
      <c r="B149" t="s">
        <v>160</v>
      </c>
      <c r="C149" s="21">
        <v>674246</v>
      </c>
    </row>
    <row r="150" spans="1:3" x14ac:dyDescent="0.2">
      <c r="A150">
        <v>66</v>
      </c>
      <c r="B150" t="s">
        <v>203</v>
      </c>
      <c r="C150" s="21">
        <v>625138</v>
      </c>
    </row>
    <row r="151" spans="1:3" x14ac:dyDescent="0.2">
      <c r="A151">
        <v>67</v>
      </c>
      <c r="B151" t="s">
        <v>204</v>
      </c>
      <c r="C151" s="21">
        <v>616338</v>
      </c>
    </row>
    <row r="152" spans="1:3" x14ac:dyDescent="0.2">
      <c r="A152">
        <v>68</v>
      </c>
      <c r="B152" t="s">
        <v>205</v>
      </c>
      <c r="C152" s="21">
        <v>609617</v>
      </c>
    </row>
    <row r="153" spans="1:3" x14ac:dyDescent="0.2">
      <c r="A153">
        <v>69</v>
      </c>
      <c r="B153" t="s">
        <v>206</v>
      </c>
      <c r="C153" s="21">
        <v>604696</v>
      </c>
    </row>
    <row r="154" spans="1:3" x14ac:dyDescent="0.2">
      <c r="A154">
        <v>70</v>
      </c>
      <c r="B154" t="s">
        <v>207</v>
      </c>
      <c r="C154" s="21">
        <v>603837</v>
      </c>
    </row>
    <row r="155" spans="1:3" x14ac:dyDescent="0.2">
      <c r="A155" t="s">
        <v>208</v>
      </c>
    </row>
    <row r="156" spans="1:3" x14ac:dyDescent="0.2">
      <c r="A156" t="s">
        <v>209</v>
      </c>
    </row>
    <row r="157" spans="1:3" x14ac:dyDescent="0.2">
      <c r="A157" t="s">
        <v>210</v>
      </c>
    </row>
    <row r="158" spans="1:3" x14ac:dyDescent="0.2">
      <c r="A158" t="s">
        <v>211</v>
      </c>
    </row>
    <row r="159" spans="1:3" x14ac:dyDescent="0.2">
      <c r="A159" t="s">
        <v>212</v>
      </c>
    </row>
    <row r="160" spans="1:3" x14ac:dyDescent="0.2">
      <c r="A160" t="s">
        <v>213</v>
      </c>
    </row>
    <row r="161" spans="1:1" x14ac:dyDescent="0.2">
      <c r="A161" t="s">
        <v>214</v>
      </c>
    </row>
    <row r="162" spans="1:1" x14ac:dyDescent="0.2">
      <c r="A162" t="s">
        <v>121</v>
      </c>
    </row>
    <row r="163" spans="1:1" x14ac:dyDescent="0.2">
      <c r="A163" t="s">
        <v>215</v>
      </c>
    </row>
    <row r="164" spans="1:1" x14ac:dyDescent="0.2">
      <c r="A164" t="s">
        <v>216</v>
      </c>
    </row>
    <row r="165" spans="1:1" x14ac:dyDescent="0.2">
      <c r="A165" t="s">
        <v>125</v>
      </c>
    </row>
    <row r="166" spans="1:1" x14ac:dyDescent="0.2">
      <c r="A166" t="s">
        <v>217</v>
      </c>
    </row>
    <row r="167" spans="1:1" x14ac:dyDescent="0.2">
      <c r="A167" t="s">
        <v>218</v>
      </c>
    </row>
    <row r="168" spans="1:1" x14ac:dyDescent="0.2">
      <c r="A168" t="s">
        <v>219</v>
      </c>
    </row>
    <row r="169" spans="1:1" x14ac:dyDescent="0.2">
      <c r="A169" t="s">
        <v>220</v>
      </c>
    </row>
    <row r="171" spans="1:1" x14ac:dyDescent="0.2">
      <c r="A171" t="s">
        <v>221</v>
      </c>
    </row>
    <row r="172" spans="1:1" x14ac:dyDescent="0.2">
      <c r="A172" t="s">
        <v>222</v>
      </c>
    </row>
    <row r="173" spans="1:1" x14ac:dyDescent="0.2">
      <c r="A173" t="s">
        <v>223</v>
      </c>
    </row>
    <row r="174" spans="1:1" x14ac:dyDescent="0.2">
      <c r="A174" t="s">
        <v>224</v>
      </c>
    </row>
    <row r="175" spans="1:1" x14ac:dyDescent="0.2">
      <c r="A175" t="s">
        <v>225</v>
      </c>
    </row>
    <row r="176" spans="1:1" x14ac:dyDescent="0.2">
      <c r="A176" t="s">
        <v>226</v>
      </c>
    </row>
    <row r="177" spans="1:1" x14ac:dyDescent="0.2">
      <c r="A177" t="s">
        <v>227</v>
      </c>
    </row>
    <row r="178" spans="1:1" x14ac:dyDescent="0.2">
      <c r="A178" t="s">
        <v>228</v>
      </c>
    </row>
    <row r="179" spans="1:1" x14ac:dyDescent="0.2">
      <c r="A179" t="s">
        <v>229</v>
      </c>
    </row>
    <row r="180" spans="1:1" x14ac:dyDescent="0.2">
      <c r="A180" t="s">
        <v>230</v>
      </c>
    </row>
    <row r="181" spans="1:1" x14ac:dyDescent="0.2">
      <c r="A181" t="s">
        <v>231</v>
      </c>
    </row>
    <row r="182" spans="1:1" x14ac:dyDescent="0.2">
      <c r="A182" t="s">
        <v>232</v>
      </c>
    </row>
    <row r="183" spans="1:1" x14ac:dyDescent="0.2">
      <c r="A183" t="s">
        <v>233</v>
      </c>
    </row>
    <row r="184" spans="1:1" x14ac:dyDescent="0.2">
      <c r="A184" t="s">
        <v>234</v>
      </c>
    </row>
    <row r="185" spans="1:1" x14ac:dyDescent="0.2">
      <c r="A185" t="s">
        <v>235</v>
      </c>
    </row>
    <row r="186" spans="1:1" x14ac:dyDescent="0.2">
      <c r="A186" t="s">
        <v>236</v>
      </c>
    </row>
    <row r="187" spans="1:1" x14ac:dyDescent="0.2">
      <c r="A187" t="s">
        <v>237</v>
      </c>
    </row>
    <row r="188" spans="1:1" x14ac:dyDescent="0.2">
      <c r="A188" t="s">
        <v>238</v>
      </c>
    </row>
    <row r="189" spans="1:1" x14ac:dyDescent="0.2">
      <c r="A189" t="s">
        <v>239</v>
      </c>
    </row>
    <row r="207" spans="1:6" x14ac:dyDescent="0.2">
      <c r="A207" t="s">
        <v>55</v>
      </c>
      <c r="B207" t="s">
        <v>73</v>
      </c>
      <c r="C207" t="s">
        <v>81</v>
      </c>
      <c r="D207" t="s">
        <v>84</v>
      </c>
      <c r="E207" t="s">
        <v>85</v>
      </c>
      <c r="F207" t="s">
        <v>86</v>
      </c>
    </row>
    <row r="208" spans="1:6" x14ac:dyDescent="0.2">
      <c r="A208">
        <v>1</v>
      </c>
      <c r="B208" t="s">
        <v>56</v>
      </c>
      <c r="C208" t="s">
        <v>82</v>
      </c>
      <c r="D208">
        <v>32</v>
      </c>
      <c r="E208">
        <v>293</v>
      </c>
      <c r="F208">
        <v>9376</v>
      </c>
    </row>
    <row r="209" spans="1:6" x14ac:dyDescent="0.2">
      <c r="A209">
        <v>2</v>
      </c>
      <c r="B209" t="s">
        <v>57</v>
      </c>
      <c r="C209" t="s">
        <v>83</v>
      </c>
      <c r="D209">
        <v>25</v>
      </c>
      <c r="E209">
        <v>294</v>
      </c>
      <c r="F209">
        <v>7350</v>
      </c>
    </row>
    <row r="210" spans="1:6" x14ac:dyDescent="0.2">
      <c r="A210">
        <v>3</v>
      </c>
      <c r="B210" t="s">
        <v>58</v>
      </c>
      <c r="C210" t="s">
        <v>82</v>
      </c>
      <c r="D210">
        <v>36</v>
      </c>
      <c r="E210">
        <v>215</v>
      </c>
      <c r="F210">
        <v>7740</v>
      </c>
    </row>
    <row r="211" spans="1:6" x14ac:dyDescent="0.2">
      <c r="A211">
        <v>4</v>
      </c>
      <c r="B211" t="s">
        <v>59</v>
      </c>
      <c r="C211" t="s">
        <v>83</v>
      </c>
      <c r="D211">
        <v>25</v>
      </c>
      <c r="E211">
        <v>234</v>
      </c>
      <c r="F211">
        <v>5850</v>
      </c>
    </row>
    <row r="212" spans="1:6" x14ac:dyDescent="0.2">
      <c r="A212">
        <v>5</v>
      </c>
      <c r="B212" t="s">
        <v>60</v>
      </c>
      <c r="C212" t="s">
        <v>82</v>
      </c>
      <c r="D212">
        <v>58</v>
      </c>
      <c r="E212">
        <v>211</v>
      </c>
      <c r="F212">
        <v>12238</v>
      </c>
    </row>
    <row r="213" spans="1:6" x14ac:dyDescent="0.2">
      <c r="A213">
        <v>6</v>
      </c>
      <c r="B213" t="s">
        <v>61</v>
      </c>
      <c r="C213" t="s">
        <v>83</v>
      </c>
      <c r="D213">
        <v>24</v>
      </c>
      <c r="E213">
        <v>286</v>
      </c>
      <c r="F213">
        <v>6864</v>
      </c>
    </row>
    <row r="214" spans="1:6" x14ac:dyDescent="0.2">
      <c r="A214">
        <v>7</v>
      </c>
      <c r="B214" t="s">
        <v>62</v>
      </c>
      <c r="C214" t="s">
        <v>82</v>
      </c>
      <c r="D214">
        <v>56</v>
      </c>
      <c r="E214">
        <v>236</v>
      </c>
      <c r="F214">
        <v>13216</v>
      </c>
    </row>
    <row r="215" spans="1:6" x14ac:dyDescent="0.2">
      <c r="A215">
        <v>8</v>
      </c>
      <c r="B215" t="s">
        <v>63</v>
      </c>
      <c r="C215" t="s">
        <v>83</v>
      </c>
      <c r="D215">
        <v>27</v>
      </c>
      <c r="E215">
        <v>243</v>
      </c>
      <c r="F215">
        <v>6561</v>
      </c>
    </row>
    <row r="216" spans="1:6" x14ac:dyDescent="0.2">
      <c r="A216">
        <v>9</v>
      </c>
      <c r="B216" t="s">
        <v>64</v>
      </c>
      <c r="C216" t="s">
        <v>82</v>
      </c>
      <c r="D216">
        <v>40</v>
      </c>
      <c r="E216">
        <v>219</v>
      </c>
      <c r="F216">
        <v>8760</v>
      </c>
    </row>
    <row r="217" spans="1:6" x14ac:dyDescent="0.2">
      <c r="A217">
        <v>10</v>
      </c>
      <c r="B217" t="s">
        <v>65</v>
      </c>
      <c r="C217" t="s">
        <v>83</v>
      </c>
      <c r="D217">
        <v>28</v>
      </c>
      <c r="E217">
        <v>242</v>
      </c>
      <c r="F217">
        <v>6776</v>
      </c>
    </row>
    <row r="218" spans="1:6" x14ac:dyDescent="0.2">
      <c r="A218">
        <v>11</v>
      </c>
      <c r="B218" t="s">
        <v>66</v>
      </c>
      <c r="C218" t="s">
        <v>82</v>
      </c>
      <c r="D218">
        <v>39</v>
      </c>
      <c r="E218">
        <v>251</v>
      </c>
      <c r="F218">
        <v>9789</v>
      </c>
    </row>
    <row r="219" spans="1:6" x14ac:dyDescent="0.2">
      <c r="A219">
        <v>12</v>
      </c>
      <c r="B219" t="s">
        <v>67</v>
      </c>
      <c r="C219" t="s">
        <v>83</v>
      </c>
      <c r="D219">
        <v>38</v>
      </c>
      <c r="E219">
        <v>248</v>
      </c>
      <c r="F219">
        <v>9424</v>
      </c>
    </row>
    <row r="220" spans="1:6" x14ac:dyDescent="0.2">
      <c r="A220">
        <v>13</v>
      </c>
      <c r="B220" t="s">
        <v>68</v>
      </c>
      <c r="C220" t="s">
        <v>82</v>
      </c>
      <c r="D220">
        <v>32</v>
      </c>
      <c r="E220">
        <v>230</v>
      </c>
      <c r="F220">
        <v>7360</v>
      </c>
    </row>
    <row r="221" spans="1:6" x14ac:dyDescent="0.2">
      <c r="A221">
        <v>14</v>
      </c>
      <c r="B221" t="s">
        <v>69</v>
      </c>
      <c r="C221" t="s">
        <v>83</v>
      </c>
      <c r="D221">
        <v>26</v>
      </c>
      <c r="E221">
        <v>281</v>
      </c>
      <c r="F221">
        <v>7306</v>
      </c>
    </row>
    <row r="222" spans="1:6" x14ac:dyDescent="0.2">
      <c r="A222">
        <v>15</v>
      </c>
      <c r="B222" t="s">
        <v>70</v>
      </c>
      <c r="C222" t="s">
        <v>82</v>
      </c>
      <c r="D222">
        <v>31</v>
      </c>
      <c r="E222">
        <v>261</v>
      </c>
      <c r="F222">
        <v>8091</v>
      </c>
    </row>
    <row r="223" spans="1:6" x14ac:dyDescent="0.2">
      <c r="A223">
        <v>16</v>
      </c>
      <c r="B223" t="s">
        <v>71</v>
      </c>
      <c r="C223" t="s">
        <v>83</v>
      </c>
      <c r="D223">
        <v>24</v>
      </c>
      <c r="E223">
        <v>274</v>
      </c>
      <c r="F223">
        <v>6576</v>
      </c>
    </row>
    <row r="224" spans="1:6" x14ac:dyDescent="0.2">
      <c r="A224">
        <v>17</v>
      </c>
      <c r="B224" t="s">
        <v>72</v>
      </c>
      <c r="C224" t="s">
        <v>82</v>
      </c>
      <c r="D224">
        <v>39</v>
      </c>
      <c r="E224">
        <v>283</v>
      </c>
      <c r="F224">
        <v>11037</v>
      </c>
    </row>
    <row r="225" spans="1:6" x14ac:dyDescent="0.2">
      <c r="A225">
        <v>18</v>
      </c>
      <c r="B225" t="s">
        <v>56</v>
      </c>
      <c r="C225" t="s">
        <v>83</v>
      </c>
      <c r="D225">
        <v>28</v>
      </c>
      <c r="E225">
        <v>249</v>
      </c>
      <c r="F225">
        <v>6972</v>
      </c>
    </row>
    <row r="226" spans="1:6" x14ac:dyDescent="0.2">
      <c r="A226">
        <v>19</v>
      </c>
      <c r="B226" t="s">
        <v>57</v>
      </c>
      <c r="C226" t="s">
        <v>82</v>
      </c>
      <c r="D226">
        <v>26</v>
      </c>
      <c r="E226">
        <v>226</v>
      </c>
      <c r="F226">
        <v>5876</v>
      </c>
    </row>
    <row r="227" spans="1:6" x14ac:dyDescent="0.2">
      <c r="A227">
        <v>20</v>
      </c>
      <c r="B227" t="s">
        <v>58</v>
      </c>
      <c r="C227" t="s">
        <v>83</v>
      </c>
      <c r="D227">
        <v>46</v>
      </c>
      <c r="E227">
        <v>275</v>
      </c>
      <c r="F227">
        <v>12650</v>
      </c>
    </row>
    <row r="228" spans="1:6" x14ac:dyDescent="0.2">
      <c r="A228">
        <v>21</v>
      </c>
      <c r="B228" t="s">
        <v>59</v>
      </c>
      <c r="C228" t="s">
        <v>82</v>
      </c>
      <c r="D228">
        <v>37</v>
      </c>
      <c r="E228">
        <v>286</v>
      </c>
      <c r="F228">
        <v>10582</v>
      </c>
    </row>
    <row r="229" spans="1:6" x14ac:dyDescent="0.2">
      <c r="A229">
        <v>22</v>
      </c>
      <c r="B229" t="s">
        <v>60</v>
      </c>
      <c r="C229" t="s">
        <v>83</v>
      </c>
      <c r="D229">
        <v>52</v>
      </c>
      <c r="E229">
        <v>220</v>
      </c>
      <c r="F229">
        <v>11440</v>
      </c>
    </row>
    <row r="230" spans="1:6" x14ac:dyDescent="0.2">
      <c r="A230">
        <v>23</v>
      </c>
      <c r="B230" t="s">
        <v>61</v>
      </c>
      <c r="C230" t="s">
        <v>82</v>
      </c>
      <c r="D230">
        <v>46</v>
      </c>
      <c r="E230">
        <v>247</v>
      </c>
      <c r="F230">
        <v>11362</v>
      </c>
    </row>
    <row r="231" spans="1:6" x14ac:dyDescent="0.2">
      <c r="A231">
        <v>24</v>
      </c>
      <c r="B231" t="s">
        <v>62</v>
      </c>
      <c r="C231" t="s">
        <v>83</v>
      </c>
      <c r="D231">
        <v>42</v>
      </c>
      <c r="E231">
        <v>255</v>
      </c>
      <c r="F231">
        <v>10710</v>
      </c>
    </row>
    <row r="232" spans="1:6" x14ac:dyDescent="0.2">
      <c r="A232">
        <v>25</v>
      </c>
      <c r="B232" t="s">
        <v>63</v>
      </c>
      <c r="C232" t="s">
        <v>82</v>
      </c>
      <c r="D232">
        <v>21</v>
      </c>
      <c r="E232">
        <v>284</v>
      </c>
      <c r="F232">
        <v>5964</v>
      </c>
    </row>
    <row r="233" spans="1:6" x14ac:dyDescent="0.2">
      <c r="A233">
        <v>26</v>
      </c>
      <c r="B233" t="s">
        <v>64</v>
      </c>
      <c r="C233" t="s">
        <v>83</v>
      </c>
      <c r="D233">
        <v>28</v>
      </c>
      <c r="E233">
        <v>260</v>
      </c>
      <c r="F233">
        <v>7280</v>
      </c>
    </row>
    <row r="234" spans="1:6" x14ac:dyDescent="0.2">
      <c r="A234">
        <v>27</v>
      </c>
      <c r="B234" t="s">
        <v>65</v>
      </c>
      <c r="C234" t="s">
        <v>82</v>
      </c>
      <c r="D234">
        <v>29</v>
      </c>
      <c r="E234">
        <v>211</v>
      </c>
      <c r="F234">
        <v>6119</v>
      </c>
    </row>
    <row r="235" spans="1:6" x14ac:dyDescent="0.2">
      <c r="A235">
        <v>28</v>
      </c>
      <c r="B235" t="s">
        <v>66</v>
      </c>
      <c r="C235" t="s">
        <v>83</v>
      </c>
      <c r="D235">
        <v>23</v>
      </c>
      <c r="E235">
        <v>243</v>
      </c>
      <c r="F235">
        <v>5589</v>
      </c>
    </row>
    <row r="236" spans="1:6" x14ac:dyDescent="0.2">
      <c r="A236">
        <v>29</v>
      </c>
      <c r="B236" t="s">
        <v>67</v>
      </c>
      <c r="C236" t="s">
        <v>82</v>
      </c>
      <c r="D236">
        <v>41</v>
      </c>
      <c r="E236">
        <v>285</v>
      </c>
      <c r="F236">
        <v>11685</v>
      </c>
    </row>
    <row r="237" spans="1:6" x14ac:dyDescent="0.2">
      <c r="A237">
        <v>30</v>
      </c>
      <c r="B237" t="s">
        <v>68</v>
      </c>
      <c r="C237" t="s">
        <v>83</v>
      </c>
      <c r="D237">
        <v>28</v>
      </c>
      <c r="E237">
        <v>263</v>
      </c>
      <c r="F237">
        <v>7364</v>
      </c>
    </row>
    <row r="238" spans="1:6" x14ac:dyDescent="0.2">
      <c r="A238">
        <v>31</v>
      </c>
      <c r="B238" t="s">
        <v>69</v>
      </c>
      <c r="C238" t="s">
        <v>82</v>
      </c>
      <c r="D238">
        <v>37</v>
      </c>
      <c r="E238">
        <v>223</v>
      </c>
      <c r="F238">
        <v>8251</v>
      </c>
    </row>
    <row r="239" spans="1:6" x14ac:dyDescent="0.2">
      <c r="A239">
        <v>32</v>
      </c>
      <c r="B239" t="s">
        <v>70</v>
      </c>
      <c r="C239" t="s">
        <v>83</v>
      </c>
      <c r="D239">
        <v>34</v>
      </c>
      <c r="E239">
        <v>219</v>
      </c>
      <c r="F239">
        <v>7446</v>
      </c>
    </row>
    <row r="240" spans="1:6" x14ac:dyDescent="0.2">
      <c r="A240">
        <v>33</v>
      </c>
      <c r="B240" t="s">
        <v>71</v>
      </c>
      <c r="C240" t="s">
        <v>82</v>
      </c>
      <c r="D240">
        <v>26</v>
      </c>
      <c r="E240">
        <v>249</v>
      </c>
      <c r="F240">
        <v>6474</v>
      </c>
    </row>
    <row r="241" spans="1:6" x14ac:dyDescent="0.2">
      <c r="A241">
        <v>34</v>
      </c>
      <c r="B241" t="s">
        <v>72</v>
      </c>
      <c r="C241" t="s">
        <v>83</v>
      </c>
      <c r="D241">
        <v>35</v>
      </c>
      <c r="E241">
        <v>283</v>
      </c>
      <c r="F241">
        <v>9905</v>
      </c>
    </row>
    <row r="242" spans="1:6" x14ac:dyDescent="0.2">
      <c r="A242">
        <v>35</v>
      </c>
      <c r="B242" t="s">
        <v>56</v>
      </c>
      <c r="C242" t="s">
        <v>82</v>
      </c>
      <c r="D242">
        <v>36</v>
      </c>
      <c r="E242">
        <v>200</v>
      </c>
      <c r="F242">
        <v>7200</v>
      </c>
    </row>
    <row r="243" spans="1:6" x14ac:dyDescent="0.2">
      <c r="A243">
        <v>36</v>
      </c>
      <c r="B243" t="s">
        <v>57</v>
      </c>
      <c r="C243" t="s">
        <v>83</v>
      </c>
      <c r="D243">
        <v>29</v>
      </c>
      <c r="E243">
        <v>209</v>
      </c>
      <c r="F243">
        <v>6061</v>
      </c>
    </row>
    <row r="244" spans="1:6" x14ac:dyDescent="0.2">
      <c r="A244">
        <v>37</v>
      </c>
      <c r="B244" t="s">
        <v>58</v>
      </c>
      <c r="C244" t="s">
        <v>82</v>
      </c>
      <c r="D244">
        <v>27</v>
      </c>
      <c r="E244">
        <v>279</v>
      </c>
      <c r="F244">
        <v>7533</v>
      </c>
    </row>
    <row r="245" spans="1:6" x14ac:dyDescent="0.2">
      <c r="A245">
        <v>38</v>
      </c>
      <c r="B245" t="s">
        <v>59</v>
      </c>
      <c r="C245" t="s">
        <v>83</v>
      </c>
      <c r="D245">
        <v>25</v>
      </c>
      <c r="E245">
        <v>281</v>
      </c>
      <c r="F245">
        <v>7025</v>
      </c>
    </row>
    <row r="246" spans="1:6" x14ac:dyDescent="0.2">
      <c r="A246">
        <v>39</v>
      </c>
      <c r="B246" t="s">
        <v>60</v>
      </c>
      <c r="C246" t="s">
        <v>82</v>
      </c>
      <c r="D246">
        <v>36</v>
      </c>
      <c r="E246">
        <v>268</v>
      </c>
      <c r="F246">
        <v>9648</v>
      </c>
    </row>
    <row r="247" spans="1:6" x14ac:dyDescent="0.2">
      <c r="A247">
        <v>40</v>
      </c>
      <c r="B247" t="s">
        <v>61</v>
      </c>
      <c r="C247" t="s">
        <v>83</v>
      </c>
      <c r="D247">
        <v>37</v>
      </c>
      <c r="E247">
        <v>300</v>
      </c>
      <c r="F247">
        <v>11100</v>
      </c>
    </row>
    <row r="248" spans="1:6" x14ac:dyDescent="0.2">
      <c r="A248">
        <v>41</v>
      </c>
      <c r="B248" t="s">
        <v>62</v>
      </c>
      <c r="C248" t="s">
        <v>82</v>
      </c>
      <c r="D248">
        <v>26</v>
      </c>
      <c r="E248">
        <v>274</v>
      </c>
      <c r="F248">
        <v>7124</v>
      </c>
    </row>
    <row r="249" spans="1:6" x14ac:dyDescent="0.2">
      <c r="A249">
        <v>42</v>
      </c>
      <c r="B249" t="s">
        <v>63</v>
      </c>
      <c r="C249" t="s">
        <v>83</v>
      </c>
      <c r="D249">
        <v>37</v>
      </c>
      <c r="E249">
        <v>293</v>
      </c>
      <c r="F249">
        <v>10841</v>
      </c>
    </row>
    <row r="250" spans="1:6" x14ac:dyDescent="0.2">
      <c r="A250">
        <v>43</v>
      </c>
      <c r="B250" t="s">
        <v>64</v>
      </c>
      <c r="C250" t="s">
        <v>82</v>
      </c>
      <c r="D250">
        <v>24</v>
      </c>
      <c r="E250">
        <v>239</v>
      </c>
      <c r="F250">
        <v>5736</v>
      </c>
    </row>
    <row r="251" spans="1:6" x14ac:dyDescent="0.2">
      <c r="A251">
        <v>44</v>
      </c>
      <c r="B251" t="s">
        <v>65</v>
      </c>
      <c r="C251" t="s">
        <v>83</v>
      </c>
      <c r="D251">
        <v>39</v>
      </c>
      <c r="E251">
        <v>296</v>
      </c>
      <c r="F251">
        <v>11544</v>
      </c>
    </row>
    <row r="252" spans="1:6" x14ac:dyDescent="0.2">
      <c r="A252">
        <v>45</v>
      </c>
      <c r="B252" t="s">
        <v>66</v>
      </c>
      <c r="C252" t="s">
        <v>82</v>
      </c>
      <c r="D252">
        <v>26</v>
      </c>
      <c r="E252">
        <v>277</v>
      </c>
      <c r="F252">
        <v>7202</v>
      </c>
    </row>
    <row r="253" spans="1:6" x14ac:dyDescent="0.2">
      <c r="A253">
        <v>46</v>
      </c>
      <c r="B253" t="s">
        <v>67</v>
      </c>
      <c r="C253" t="s">
        <v>83</v>
      </c>
      <c r="D253">
        <v>34</v>
      </c>
      <c r="E253">
        <v>252</v>
      </c>
      <c r="F253">
        <v>8568</v>
      </c>
    </row>
    <row r="254" spans="1:6" x14ac:dyDescent="0.2">
      <c r="A254">
        <v>47</v>
      </c>
      <c r="B254" t="s">
        <v>68</v>
      </c>
      <c r="C254" t="s">
        <v>82</v>
      </c>
      <c r="D254">
        <v>28</v>
      </c>
      <c r="E254">
        <v>291</v>
      </c>
      <c r="F254">
        <v>8148</v>
      </c>
    </row>
    <row r="255" spans="1:6" x14ac:dyDescent="0.2">
      <c r="A255">
        <v>48</v>
      </c>
      <c r="B255" t="s">
        <v>69</v>
      </c>
      <c r="C255" t="s">
        <v>83</v>
      </c>
      <c r="D255">
        <v>32</v>
      </c>
      <c r="E255">
        <v>207</v>
      </c>
      <c r="F255">
        <v>6624</v>
      </c>
    </row>
    <row r="256" spans="1:6" x14ac:dyDescent="0.2">
      <c r="A256">
        <v>49</v>
      </c>
      <c r="B256" t="s">
        <v>70</v>
      </c>
      <c r="C256" t="s">
        <v>82</v>
      </c>
      <c r="D256">
        <v>39</v>
      </c>
      <c r="E256">
        <v>211</v>
      </c>
      <c r="F256">
        <v>8229</v>
      </c>
    </row>
    <row r="257" spans="1:6" x14ac:dyDescent="0.2">
      <c r="A257">
        <v>50</v>
      </c>
      <c r="B257" t="s">
        <v>71</v>
      </c>
      <c r="C257" t="s">
        <v>83</v>
      </c>
      <c r="D257">
        <v>29</v>
      </c>
      <c r="E257">
        <v>235</v>
      </c>
      <c r="F257">
        <v>6815</v>
      </c>
    </row>
    <row r="258" spans="1:6" x14ac:dyDescent="0.2">
      <c r="A258">
        <v>51</v>
      </c>
      <c r="B258" t="s">
        <v>72</v>
      </c>
      <c r="C258" t="s">
        <v>82</v>
      </c>
      <c r="D258">
        <v>32</v>
      </c>
      <c r="E258">
        <v>206</v>
      </c>
      <c r="F258">
        <v>6592</v>
      </c>
    </row>
    <row r="259" spans="1:6" x14ac:dyDescent="0.2">
      <c r="A259">
        <v>52</v>
      </c>
      <c r="B259" t="s">
        <v>56</v>
      </c>
      <c r="C259" t="s">
        <v>83</v>
      </c>
      <c r="D259">
        <v>25</v>
      </c>
      <c r="E259">
        <v>284</v>
      </c>
      <c r="F259">
        <v>7100</v>
      </c>
    </row>
    <row r="260" spans="1:6" x14ac:dyDescent="0.2">
      <c r="A260">
        <v>53</v>
      </c>
      <c r="B260" t="s">
        <v>57</v>
      </c>
      <c r="C260" t="s">
        <v>82</v>
      </c>
      <c r="D260">
        <v>36</v>
      </c>
      <c r="E260">
        <v>298</v>
      </c>
      <c r="F260">
        <v>10728</v>
      </c>
    </row>
    <row r="261" spans="1:6" x14ac:dyDescent="0.2">
      <c r="A261">
        <v>54</v>
      </c>
      <c r="B261" t="s">
        <v>58</v>
      </c>
      <c r="C261" t="s">
        <v>83</v>
      </c>
      <c r="D261">
        <v>25</v>
      </c>
      <c r="E261">
        <v>243</v>
      </c>
      <c r="F261">
        <v>6075</v>
      </c>
    </row>
    <row r="262" spans="1:6" x14ac:dyDescent="0.2">
      <c r="A262">
        <v>55</v>
      </c>
      <c r="B262" t="s">
        <v>59</v>
      </c>
      <c r="C262" t="s">
        <v>82</v>
      </c>
      <c r="D262">
        <v>58</v>
      </c>
      <c r="E262">
        <v>298</v>
      </c>
      <c r="F262">
        <v>17284</v>
      </c>
    </row>
    <row r="263" spans="1:6" x14ac:dyDescent="0.2">
      <c r="A263">
        <v>56</v>
      </c>
      <c r="B263" t="s">
        <v>60</v>
      </c>
      <c r="C263" t="s">
        <v>83</v>
      </c>
      <c r="D263">
        <v>24</v>
      </c>
      <c r="E263">
        <v>273</v>
      </c>
      <c r="F263">
        <v>6552</v>
      </c>
    </row>
    <row r="264" spans="1:6" x14ac:dyDescent="0.2">
      <c r="A264">
        <v>57</v>
      </c>
      <c r="B264" t="s">
        <v>61</v>
      </c>
      <c r="C264" t="s">
        <v>82</v>
      </c>
      <c r="D264">
        <v>56</v>
      </c>
      <c r="E264">
        <v>236</v>
      </c>
      <c r="F264">
        <v>13216</v>
      </c>
    </row>
    <row r="265" spans="1:6" x14ac:dyDescent="0.2">
      <c r="A265">
        <v>58</v>
      </c>
      <c r="B265" t="s">
        <v>62</v>
      </c>
      <c r="C265" t="s">
        <v>83</v>
      </c>
      <c r="D265">
        <v>27</v>
      </c>
      <c r="E265">
        <v>272</v>
      </c>
      <c r="F265">
        <v>7344</v>
      </c>
    </row>
    <row r="266" spans="1:6" x14ac:dyDescent="0.2">
      <c r="A266">
        <v>59</v>
      </c>
      <c r="B266" t="s">
        <v>63</v>
      </c>
      <c r="C266" t="s">
        <v>82</v>
      </c>
      <c r="D266">
        <v>40</v>
      </c>
      <c r="E266">
        <v>264</v>
      </c>
      <c r="F266">
        <v>10560</v>
      </c>
    </row>
    <row r="267" spans="1:6" x14ac:dyDescent="0.2">
      <c r="A267">
        <v>60</v>
      </c>
      <c r="B267" t="s">
        <v>64</v>
      </c>
      <c r="C267" t="s">
        <v>83</v>
      </c>
      <c r="D267">
        <v>28</v>
      </c>
      <c r="E267">
        <v>285</v>
      </c>
      <c r="F267">
        <v>7980</v>
      </c>
    </row>
    <row r="268" spans="1:6" x14ac:dyDescent="0.2">
      <c r="A268">
        <v>61</v>
      </c>
      <c r="B268" t="s">
        <v>65</v>
      </c>
      <c r="C268" t="s">
        <v>82</v>
      </c>
      <c r="D268">
        <v>39</v>
      </c>
      <c r="E268">
        <v>235</v>
      </c>
      <c r="F268">
        <v>9165</v>
      </c>
    </row>
    <row r="269" spans="1:6" x14ac:dyDescent="0.2">
      <c r="A269">
        <v>62</v>
      </c>
      <c r="B269" t="s">
        <v>66</v>
      </c>
      <c r="C269" t="s">
        <v>83</v>
      </c>
      <c r="D269">
        <v>38</v>
      </c>
      <c r="E269">
        <v>265</v>
      </c>
      <c r="F269">
        <v>10070</v>
      </c>
    </row>
    <row r="270" spans="1:6" x14ac:dyDescent="0.2">
      <c r="A270">
        <v>63</v>
      </c>
      <c r="B270" t="s">
        <v>67</v>
      </c>
      <c r="C270" t="s">
        <v>82</v>
      </c>
      <c r="D270">
        <v>32</v>
      </c>
      <c r="E270">
        <v>212</v>
      </c>
      <c r="F270">
        <v>6784</v>
      </c>
    </row>
    <row r="271" spans="1:6" x14ac:dyDescent="0.2">
      <c r="A271">
        <v>64</v>
      </c>
      <c r="B271" t="s">
        <v>68</v>
      </c>
      <c r="C271" t="s">
        <v>83</v>
      </c>
      <c r="D271">
        <v>26</v>
      </c>
      <c r="E271">
        <v>265</v>
      </c>
      <c r="F271">
        <v>6890</v>
      </c>
    </row>
    <row r="272" spans="1:6" x14ac:dyDescent="0.2">
      <c r="A272">
        <v>65</v>
      </c>
      <c r="B272" t="s">
        <v>69</v>
      </c>
      <c r="C272" t="s">
        <v>82</v>
      </c>
      <c r="D272">
        <v>31</v>
      </c>
      <c r="E272">
        <v>285</v>
      </c>
      <c r="F272">
        <v>8835</v>
      </c>
    </row>
    <row r="273" spans="1:6" x14ac:dyDescent="0.2">
      <c r="A273">
        <v>66</v>
      </c>
      <c r="B273" t="s">
        <v>70</v>
      </c>
      <c r="C273" t="s">
        <v>83</v>
      </c>
      <c r="D273">
        <v>24</v>
      </c>
      <c r="E273">
        <v>266</v>
      </c>
      <c r="F273">
        <v>6384</v>
      </c>
    </row>
    <row r="274" spans="1:6" x14ac:dyDescent="0.2">
      <c r="A274">
        <v>67</v>
      </c>
      <c r="B274" t="s">
        <v>71</v>
      </c>
      <c r="C274" t="s">
        <v>82</v>
      </c>
      <c r="D274">
        <v>39</v>
      </c>
      <c r="E274">
        <v>266</v>
      </c>
      <c r="F274">
        <v>10374</v>
      </c>
    </row>
    <row r="275" spans="1:6" x14ac:dyDescent="0.2">
      <c r="A275">
        <v>68</v>
      </c>
      <c r="B275" t="s">
        <v>72</v>
      </c>
      <c r="C275" t="s">
        <v>83</v>
      </c>
      <c r="D275">
        <v>28</v>
      </c>
      <c r="E275">
        <v>241</v>
      </c>
      <c r="F275">
        <v>6748</v>
      </c>
    </row>
    <row r="276" spans="1:6" x14ac:dyDescent="0.2">
      <c r="A276">
        <v>69</v>
      </c>
      <c r="B276" t="s">
        <v>56</v>
      </c>
      <c r="C276" t="s">
        <v>82</v>
      </c>
      <c r="D276">
        <v>26</v>
      </c>
      <c r="E276">
        <v>287</v>
      </c>
      <c r="F276">
        <v>7462</v>
      </c>
    </row>
    <row r="277" spans="1:6" x14ac:dyDescent="0.2">
      <c r="A277">
        <v>70</v>
      </c>
      <c r="B277" t="s">
        <v>57</v>
      </c>
      <c r="C277" t="s">
        <v>83</v>
      </c>
      <c r="D277">
        <v>46</v>
      </c>
      <c r="E277">
        <v>260</v>
      </c>
      <c r="F277">
        <v>11960</v>
      </c>
    </row>
    <row r="278" spans="1:6" x14ac:dyDescent="0.2">
      <c r="A278">
        <v>71</v>
      </c>
      <c r="B278" t="s">
        <v>58</v>
      </c>
      <c r="C278" t="s">
        <v>82</v>
      </c>
      <c r="D278">
        <v>37</v>
      </c>
      <c r="E278">
        <v>261</v>
      </c>
      <c r="F278">
        <v>9657</v>
      </c>
    </row>
    <row r="279" spans="1:6" x14ac:dyDescent="0.2">
      <c r="A279">
        <v>72</v>
      </c>
      <c r="B279" t="s">
        <v>59</v>
      </c>
      <c r="C279" t="s">
        <v>83</v>
      </c>
      <c r="D279">
        <v>52</v>
      </c>
      <c r="E279">
        <v>293</v>
      </c>
      <c r="F279">
        <v>15236</v>
      </c>
    </row>
    <row r="280" spans="1:6" x14ac:dyDescent="0.2">
      <c r="A280">
        <v>73</v>
      </c>
      <c r="B280" t="s">
        <v>60</v>
      </c>
      <c r="C280" t="s">
        <v>82</v>
      </c>
      <c r="D280">
        <v>46</v>
      </c>
      <c r="E280">
        <v>213</v>
      </c>
      <c r="F280">
        <v>9798</v>
      </c>
    </row>
    <row r="281" spans="1:6" x14ac:dyDescent="0.2">
      <c r="A281">
        <v>74</v>
      </c>
      <c r="B281" t="s">
        <v>61</v>
      </c>
      <c r="C281" t="s">
        <v>83</v>
      </c>
      <c r="D281">
        <v>42</v>
      </c>
      <c r="E281">
        <v>297</v>
      </c>
      <c r="F281">
        <v>12474</v>
      </c>
    </row>
    <row r="282" spans="1:6" x14ac:dyDescent="0.2">
      <c r="A282">
        <v>75</v>
      </c>
      <c r="B282" t="s">
        <v>62</v>
      </c>
      <c r="C282" t="s">
        <v>82</v>
      </c>
      <c r="D282">
        <v>21</v>
      </c>
      <c r="E282">
        <v>213</v>
      </c>
      <c r="F282">
        <v>4473</v>
      </c>
    </row>
    <row r="283" spans="1:6" x14ac:dyDescent="0.2">
      <c r="A283">
        <v>76</v>
      </c>
      <c r="B283" t="s">
        <v>63</v>
      </c>
      <c r="C283" t="s">
        <v>83</v>
      </c>
      <c r="D283">
        <v>28</v>
      </c>
      <c r="E283">
        <v>213</v>
      </c>
      <c r="F283">
        <v>5964</v>
      </c>
    </row>
    <row r="284" spans="1:6" x14ac:dyDescent="0.2">
      <c r="A284">
        <v>77</v>
      </c>
      <c r="B284" t="s">
        <v>64</v>
      </c>
      <c r="C284" t="s">
        <v>82</v>
      </c>
      <c r="D284">
        <v>29</v>
      </c>
      <c r="E284">
        <v>280</v>
      </c>
      <c r="F284">
        <v>8120</v>
      </c>
    </row>
    <row r="285" spans="1:6" x14ac:dyDescent="0.2">
      <c r="A285">
        <v>78</v>
      </c>
      <c r="B285" t="s">
        <v>65</v>
      </c>
      <c r="C285" t="s">
        <v>83</v>
      </c>
      <c r="D285">
        <v>23</v>
      </c>
      <c r="E285">
        <v>235</v>
      </c>
      <c r="F285">
        <v>5405</v>
      </c>
    </row>
    <row r="286" spans="1:6" x14ac:dyDescent="0.2">
      <c r="A286">
        <v>79</v>
      </c>
      <c r="B286" t="s">
        <v>66</v>
      </c>
      <c r="C286" t="s">
        <v>82</v>
      </c>
      <c r="D286">
        <v>41</v>
      </c>
      <c r="E286">
        <v>265</v>
      </c>
      <c r="F286">
        <v>10865</v>
      </c>
    </row>
    <row r="287" spans="1:6" x14ac:dyDescent="0.2">
      <c r="A287">
        <v>80</v>
      </c>
      <c r="B287" t="s">
        <v>67</v>
      </c>
      <c r="C287" t="s">
        <v>83</v>
      </c>
      <c r="D287">
        <v>28</v>
      </c>
      <c r="E287">
        <v>251</v>
      </c>
      <c r="F287">
        <v>7028</v>
      </c>
    </row>
    <row r="288" spans="1:6" x14ac:dyDescent="0.2">
      <c r="A288">
        <v>81</v>
      </c>
      <c r="B288" t="s">
        <v>68</v>
      </c>
      <c r="C288" t="s">
        <v>82</v>
      </c>
      <c r="D288">
        <v>37</v>
      </c>
      <c r="E288">
        <v>283</v>
      </c>
      <c r="F288">
        <v>10471</v>
      </c>
    </row>
    <row r="289" spans="1:6" x14ac:dyDescent="0.2">
      <c r="A289">
        <v>82</v>
      </c>
      <c r="B289" t="s">
        <v>69</v>
      </c>
      <c r="C289" t="s">
        <v>83</v>
      </c>
      <c r="D289">
        <v>34</v>
      </c>
      <c r="E289">
        <v>262</v>
      </c>
      <c r="F289">
        <v>8908</v>
      </c>
    </row>
    <row r="290" spans="1:6" x14ac:dyDescent="0.2">
      <c r="A290">
        <v>83</v>
      </c>
      <c r="B290" t="s">
        <v>70</v>
      </c>
      <c r="C290" t="s">
        <v>82</v>
      </c>
      <c r="D290">
        <v>26</v>
      </c>
      <c r="E290">
        <v>267</v>
      </c>
      <c r="F290">
        <v>6942</v>
      </c>
    </row>
    <row r="291" spans="1:6" x14ac:dyDescent="0.2">
      <c r="A291">
        <v>84</v>
      </c>
      <c r="B291" t="s">
        <v>71</v>
      </c>
      <c r="C291" t="s">
        <v>83</v>
      </c>
      <c r="D291">
        <v>35</v>
      </c>
      <c r="E291">
        <v>300</v>
      </c>
      <c r="F291">
        <v>10500</v>
      </c>
    </row>
    <row r="292" spans="1:6" x14ac:dyDescent="0.2">
      <c r="A292">
        <v>85</v>
      </c>
      <c r="B292" t="s">
        <v>72</v>
      </c>
      <c r="C292" t="s">
        <v>82</v>
      </c>
      <c r="D292">
        <v>36</v>
      </c>
      <c r="E292">
        <v>269</v>
      </c>
      <c r="F292">
        <v>9684</v>
      </c>
    </row>
    <row r="293" spans="1:6" x14ac:dyDescent="0.2">
      <c r="A293">
        <v>86</v>
      </c>
      <c r="B293" t="s">
        <v>56</v>
      </c>
      <c r="C293" t="s">
        <v>83</v>
      </c>
      <c r="D293">
        <v>29</v>
      </c>
      <c r="E293">
        <v>257</v>
      </c>
      <c r="F293">
        <v>7453</v>
      </c>
    </row>
    <row r="294" spans="1:6" x14ac:dyDescent="0.2">
      <c r="A294">
        <v>87</v>
      </c>
      <c r="B294" t="s">
        <v>57</v>
      </c>
      <c r="C294" t="s">
        <v>82</v>
      </c>
      <c r="D294">
        <v>27</v>
      </c>
      <c r="E294">
        <v>294</v>
      </c>
      <c r="F294">
        <v>7938</v>
      </c>
    </row>
    <row r="295" spans="1:6" x14ac:dyDescent="0.2">
      <c r="A295">
        <v>88</v>
      </c>
      <c r="B295" t="s">
        <v>58</v>
      </c>
      <c r="C295" t="s">
        <v>83</v>
      </c>
      <c r="D295">
        <v>25</v>
      </c>
      <c r="E295">
        <v>273</v>
      </c>
      <c r="F295">
        <v>6825</v>
      </c>
    </row>
    <row r="296" spans="1:6" x14ac:dyDescent="0.2">
      <c r="A296">
        <v>89</v>
      </c>
      <c r="B296" t="s">
        <v>59</v>
      </c>
      <c r="C296" t="s">
        <v>82</v>
      </c>
      <c r="D296">
        <v>36</v>
      </c>
      <c r="E296">
        <v>272</v>
      </c>
      <c r="F296">
        <v>9792</v>
      </c>
    </row>
    <row r="297" spans="1:6" x14ac:dyDescent="0.2">
      <c r="A297">
        <v>90</v>
      </c>
      <c r="B297" t="s">
        <v>60</v>
      </c>
      <c r="C297" t="s">
        <v>83</v>
      </c>
      <c r="D297">
        <v>37</v>
      </c>
      <c r="E297">
        <v>227</v>
      </c>
      <c r="F297">
        <v>8399</v>
      </c>
    </row>
    <row r="298" spans="1:6" x14ac:dyDescent="0.2">
      <c r="A298">
        <v>91</v>
      </c>
      <c r="B298" t="s">
        <v>61</v>
      </c>
      <c r="C298" t="s">
        <v>82</v>
      </c>
      <c r="D298">
        <v>26</v>
      </c>
      <c r="E298">
        <v>239</v>
      </c>
      <c r="F298">
        <v>6214</v>
      </c>
    </row>
    <row r="299" spans="1:6" x14ac:dyDescent="0.2">
      <c r="A299">
        <v>92</v>
      </c>
      <c r="B299" t="s">
        <v>62</v>
      </c>
      <c r="C299" t="s">
        <v>83</v>
      </c>
      <c r="D299">
        <v>37</v>
      </c>
      <c r="E299">
        <v>289</v>
      </c>
      <c r="F299">
        <v>10693</v>
      </c>
    </row>
    <row r="300" spans="1:6" x14ac:dyDescent="0.2">
      <c r="A300">
        <v>93</v>
      </c>
      <c r="B300" t="s">
        <v>63</v>
      </c>
      <c r="C300" t="s">
        <v>82</v>
      </c>
      <c r="D300">
        <v>24</v>
      </c>
      <c r="E300">
        <v>205</v>
      </c>
      <c r="F300">
        <v>4920</v>
      </c>
    </row>
    <row r="301" spans="1:6" x14ac:dyDescent="0.2">
      <c r="A301">
        <v>94</v>
      </c>
      <c r="B301" t="s">
        <v>64</v>
      </c>
      <c r="C301" t="s">
        <v>83</v>
      </c>
      <c r="D301">
        <v>39</v>
      </c>
      <c r="E301">
        <v>235</v>
      </c>
      <c r="F301">
        <v>9165</v>
      </c>
    </row>
    <row r="302" spans="1:6" x14ac:dyDescent="0.2">
      <c r="A302">
        <v>95</v>
      </c>
      <c r="B302" t="s">
        <v>65</v>
      </c>
      <c r="C302" t="s">
        <v>82</v>
      </c>
      <c r="D302">
        <v>26</v>
      </c>
      <c r="E302">
        <v>216</v>
      </c>
      <c r="F302">
        <v>5616</v>
      </c>
    </row>
    <row r="303" spans="1:6" x14ac:dyDescent="0.2">
      <c r="A303">
        <v>96</v>
      </c>
      <c r="B303" t="s">
        <v>66</v>
      </c>
      <c r="C303" t="s">
        <v>83</v>
      </c>
      <c r="D303">
        <v>34</v>
      </c>
      <c r="E303">
        <v>283</v>
      </c>
      <c r="F303">
        <v>9622</v>
      </c>
    </row>
    <row r="304" spans="1:6" x14ac:dyDescent="0.2">
      <c r="A304">
        <v>97</v>
      </c>
      <c r="B304" t="s">
        <v>67</v>
      </c>
      <c r="C304" t="s">
        <v>82</v>
      </c>
      <c r="D304">
        <v>28</v>
      </c>
      <c r="E304">
        <v>257</v>
      </c>
      <c r="F304">
        <v>7196</v>
      </c>
    </row>
    <row r="305" spans="1:6" x14ac:dyDescent="0.2">
      <c r="A305">
        <v>98</v>
      </c>
      <c r="B305" t="s">
        <v>68</v>
      </c>
      <c r="C305" t="s">
        <v>83</v>
      </c>
      <c r="D305">
        <v>32</v>
      </c>
      <c r="E305">
        <v>209</v>
      </c>
      <c r="F305">
        <v>6688</v>
      </c>
    </row>
    <row r="306" spans="1:6" x14ac:dyDescent="0.2">
      <c r="A306">
        <v>99</v>
      </c>
      <c r="B306" t="s">
        <v>69</v>
      </c>
      <c r="C306" t="s">
        <v>82</v>
      </c>
      <c r="D306">
        <v>39</v>
      </c>
      <c r="E306">
        <v>209</v>
      </c>
      <c r="F306">
        <v>8151</v>
      </c>
    </row>
    <row r="307" spans="1:6" x14ac:dyDescent="0.2">
      <c r="A307">
        <v>100</v>
      </c>
      <c r="B307" t="s">
        <v>70</v>
      </c>
      <c r="C307" t="s">
        <v>83</v>
      </c>
      <c r="D307">
        <v>29</v>
      </c>
      <c r="E307">
        <v>253</v>
      </c>
      <c r="F307">
        <v>7337</v>
      </c>
    </row>
  </sheetData>
  <printOptions headings="1"/>
  <pageMargins left="0.7" right="0.22" top="0.56999999999999995" bottom="0.75" header="0.3" footer="0.3"/>
  <pageSetup paperSize="9" scale="61" fitToWidth="0" fitToHeight="0"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07"/>
  <sheetViews>
    <sheetView zoomScale="160" zoomScaleNormal="160" workbookViewId="0">
      <selection activeCell="C13" sqref="C13"/>
    </sheetView>
  </sheetViews>
  <sheetFormatPr defaultRowHeight="14.25" x14ac:dyDescent="0.2"/>
  <cols>
    <col min="1" max="1" width="5.75" style="12" bestFit="1" customWidth="1"/>
    <col min="2" max="5" width="19.125" customWidth="1"/>
    <col min="6" max="6" width="12.625" bestFit="1" customWidth="1"/>
    <col min="7" max="7" width="7.5" customWidth="1"/>
  </cols>
  <sheetData>
    <row r="1" spans="1:9" x14ac:dyDescent="0.2">
      <c r="A1" s="13" t="s">
        <v>55</v>
      </c>
      <c r="B1" s="13" t="s">
        <v>73</v>
      </c>
      <c r="C1" s="13" t="s">
        <v>267</v>
      </c>
      <c r="D1" s="13" t="s">
        <v>268</v>
      </c>
      <c r="E1" s="13" t="s">
        <v>269</v>
      </c>
      <c r="F1" s="13" t="s">
        <v>240</v>
      </c>
      <c r="G1" s="13" t="s">
        <v>84</v>
      </c>
      <c r="H1" s="19" t="s">
        <v>85</v>
      </c>
      <c r="I1" s="19" t="s">
        <v>86</v>
      </c>
    </row>
    <row r="2" spans="1:9" x14ac:dyDescent="0.2">
      <c r="A2" s="14">
        <v>1</v>
      </c>
      <c r="B2" s="15" t="s">
        <v>62</v>
      </c>
      <c r="C2" s="15"/>
      <c r="D2" s="15"/>
      <c r="E2" s="15"/>
      <c r="F2" s="15" t="s">
        <v>242</v>
      </c>
      <c r="G2" s="15">
        <v>56</v>
      </c>
      <c r="H2">
        <v>236</v>
      </c>
      <c r="I2">
        <f>G2*H2</f>
        <v>13216</v>
      </c>
    </row>
    <row r="3" spans="1:9" x14ac:dyDescent="0.2">
      <c r="A3" s="14">
        <v>3</v>
      </c>
      <c r="B3" s="15" t="s">
        <v>66</v>
      </c>
      <c r="C3" s="15"/>
      <c r="D3" s="15"/>
      <c r="E3" s="15"/>
      <c r="F3" s="15" t="s">
        <v>242</v>
      </c>
      <c r="G3" s="15">
        <v>39</v>
      </c>
      <c r="H3">
        <v>251</v>
      </c>
      <c r="I3">
        <f>G3*H3</f>
        <v>9789</v>
      </c>
    </row>
    <row r="4" spans="1:9" x14ac:dyDescent="0.2">
      <c r="A4" s="14">
        <v>6</v>
      </c>
      <c r="B4" s="15" t="s">
        <v>58</v>
      </c>
      <c r="C4" s="15"/>
      <c r="D4" s="15"/>
      <c r="E4" s="15"/>
      <c r="F4" s="15" t="s">
        <v>242</v>
      </c>
      <c r="G4" s="15">
        <v>36</v>
      </c>
      <c r="H4">
        <v>215</v>
      </c>
      <c r="I4">
        <f>G4*H4</f>
        <v>7740</v>
      </c>
    </row>
    <row r="5" spans="1:9" x14ac:dyDescent="0.2">
      <c r="A5" s="14">
        <v>2</v>
      </c>
      <c r="B5" s="15" t="s">
        <v>60</v>
      </c>
      <c r="C5" s="15"/>
      <c r="D5" s="15"/>
      <c r="E5" s="15"/>
      <c r="F5" s="15" t="s">
        <v>241</v>
      </c>
      <c r="G5" s="15">
        <v>58</v>
      </c>
      <c r="H5">
        <v>211</v>
      </c>
      <c r="I5">
        <f>G5*H5</f>
        <v>12238</v>
      </c>
    </row>
    <row r="6" spans="1:9" x14ac:dyDescent="0.2">
      <c r="A6" s="14">
        <v>4</v>
      </c>
      <c r="B6" s="15" t="s">
        <v>56</v>
      </c>
      <c r="C6" s="15"/>
      <c r="D6" s="15"/>
      <c r="E6" s="15"/>
      <c r="F6" s="15" t="s">
        <v>241</v>
      </c>
      <c r="G6" s="15">
        <v>32</v>
      </c>
      <c r="H6">
        <v>293</v>
      </c>
      <c r="I6">
        <f>G6*H6</f>
        <v>9376</v>
      </c>
    </row>
    <row r="7" spans="1:9" x14ac:dyDescent="0.2">
      <c r="A7" s="14">
        <v>5</v>
      </c>
      <c r="B7" s="15" t="s">
        <v>64</v>
      </c>
      <c r="C7" s="15"/>
      <c r="D7" s="15"/>
      <c r="E7" s="15"/>
      <c r="F7" s="15" t="s">
        <v>241</v>
      </c>
      <c r="G7" s="15">
        <v>40</v>
      </c>
      <c r="H7">
        <v>219</v>
      </c>
      <c r="I7">
        <f>G7*H7</f>
        <v>8760</v>
      </c>
    </row>
    <row r="8" spans="1:9" x14ac:dyDescent="0.2">
      <c r="A8" s="14">
        <v>7</v>
      </c>
      <c r="B8" s="15" t="s">
        <v>57</v>
      </c>
      <c r="C8" s="15"/>
      <c r="D8" s="15"/>
      <c r="E8" s="15"/>
      <c r="F8" s="15" t="s">
        <v>241</v>
      </c>
      <c r="G8" s="15">
        <v>25</v>
      </c>
      <c r="H8">
        <v>294</v>
      </c>
      <c r="I8">
        <f>G8*H8</f>
        <v>7350</v>
      </c>
    </row>
    <row r="9" spans="1:9" x14ac:dyDescent="0.2">
      <c r="A9" s="14">
        <v>8</v>
      </c>
      <c r="B9" s="15" t="s">
        <v>61</v>
      </c>
      <c r="C9" s="15"/>
      <c r="D9" s="15"/>
      <c r="E9" s="15"/>
      <c r="F9" s="15" t="s">
        <v>241</v>
      </c>
      <c r="G9" s="15">
        <v>24</v>
      </c>
      <c r="H9">
        <v>286</v>
      </c>
      <c r="I9">
        <f>G9*H9</f>
        <v>6864</v>
      </c>
    </row>
    <row r="10" spans="1:9" x14ac:dyDescent="0.2">
      <c r="A10" s="14">
        <v>9</v>
      </c>
      <c r="B10" s="15" t="s">
        <v>65</v>
      </c>
      <c r="C10" s="15"/>
      <c r="D10" s="15"/>
      <c r="E10" s="15"/>
      <c r="F10" s="15" t="s">
        <v>241</v>
      </c>
      <c r="G10" s="15">
        <v>28</v>
      </c>
      <c r="H10">
        <v>242</v>
      </c>
      <c r="I10">
        <f>G10*H10</f>
        <v>6776</v>
      </c>
    </row>
    <row r="11" spans="1:9" x14ac:dyDescent="0.2">
      <c r="A11" s="14">
        <v>10</v>
      </c>
      <c r="B11" s="15" t="s">
        <v>63</v>
      </c>
      <c r="C11" s="15"/>
      <c r="D11" s="15"/>
      <c r="E11" s="15"/>
      <c r="F11" s="15" t="s">
        <v>243</v>
      </c>
      <c r="G11" s="15">
        <v>27</v>
      </c>
      <c r="H11">
        <v>243</v>
      </c>
      <c r="I11">
        <f>G11*H11</f>
        <v>6561</v>
      </c>
    </row>
    <row r="12" spans="1:9" x14ac:dyDescent="0.2">
      <c r="A12" s="14">
        <v>11</v>
      </c>
      <c r="B12" s="15" t="s">
        <v>59</v>
      </c>
      <c r="C12" s="15"/>
      <c r="D12" s="15"/>
      <c r="E12" s="15"/>
      <c r="F12" s="15" t="s">
        <v>243</v>
      </c>
      <c r="G12" s="15">
        <v>25</v>
      </c>
      <c r="H12">
        <v>234</v>
      </c>
      <c r="I12">
        <f>G12*H12</f>
        <v>5850</v>
      </c>
    </row>
    <row r="13" spans="1:9" x14ac:dyDescent="0.2">
      <c r="A13" s="14"/>
      <c r="B13" s="15"/>
      <c r="C13" s="15"/>
      <c r="D13" s="15"/>
      <c r="E13" s="15"/>
      <c r="F13" s="15"/>
      <c r="G13" s="15"/>
    </row>
    <row r="14" spans="1:9" x14ac:dyDescent="0.2">
      <c r="A14" s="14"/>
      <c r="B14" s="15"/>
      <c r="C14" s="15"/>
      <c r="D14" s="15"/>
      <c r="E14" s="15"/>
      <c r="F14" s="15"/>
      <c r="G14" s="15"/>
    </row>
    <row r="15" spans="1:9" x14ac:dyDescent="0.2">
      <c r="A15" s="14"/>
      <c r="B15" s="15"/>
      <c r="C15" s="15"/>
      <c r="D15" s="15"/>
      <c r="E15" s="15"/>
      <c r="F15" s="15"/>
      <c r="G15" s="15"/>
    </row>
    <row r="16" spans="1:9" x14ac:dyDescent="0.2">
      <c r="A16" s="14"/>
      <c r="B16" s="15"/>
      <c r="C16" s="15"/>
      <c r="D16" s="15"/>
      <c r="E16" s="15"/>
      <c r="F16" s="15"/>
      <c r="G16" s="15"/>
    </row>
    <row r="17" spans="1:7" x14ac:dyDescent="0.2">
      <c r="A17" s="14"/>
      <c r="B17" s="15"/>
      <c r="C17" s="15"/>
      <c r="D17" s="15"/>
      <c r="E17" s="15"/>
      <c r="F17" s="15"/>
      <c r="G17" s="15"/>
    </row>
    <row r="18" spans="1:7" x14ac:dyDescent="0.2">
      <c r="A18" s="14"/>
      <c r="B18" s="15"/>
      <c r="C18" s="15"/>
      <c r="D18" s="15"/>
      <c r="E18" s="15"/>
      <c r="F18" s="15"/>
      <c r="G18" s="15"/>
    </row>
    <row r="19" spans="1:7" x14ac:dyDescent="0.2">
      <c r="A19" s="14"/>
      <c r="B19" s="15"/>
      <c r="C19" s="15"/>
      <c r="D19" s="15"/>
      <c r="E19" s="15"/>
      <c r="F19" s="15"/>
      <c r="G19" s="15"/>
    </row>
    <row r="20" spans="1:7" x14ac:dyDescent="0.2">
      <c r="A20" s="14"/>
      <c r="B20" s="15"/>
      <c r="C20" s="15"/>
      <c r="D20" s="15"/>
      <c r="E20" s="15"/>
      <c r="F20" s="15"/>
      <c r="G20" s="15"/>
    </row>
    <row r="21" spans="1:7" x14ac:dyDescent="0.2">
      <c r="A21" s="14"/>
      <c r="B21" s="15"/>
      <c r="C21" s="15"/>
      <c r="D21" s="15"/>
      <c r="E21" s="15"/>
      <c r="F21" s="15"/>
      <c r="G21" s="15"/>
    </row>
    <row r="22" spans="1:7" x14ac:dyDescent="0.2">
      <c r="A22" s="14"/>
      <c r="B22" s="15"/>
      <c r="C22" s="15"/>
      <c r="D22" s="15"/>
      <c r="E22" s="15"/>
      <c r="F22" s="15"/>
      <c r="G22" s="15"/>
    </row>
    <row r="23" spans="1:7" x14ac:dyDescent="0.2">
      <c r="A23" s="14"/>
      <c r="B23" s="15"/>
      <c r="C23" s="15"/>
      <c r="D23" s="15"/>
      <c r="E23" s="15"/>
      <c r="F23" s="15"/>
      <c r="G23" s="15"/>
    </row>
    <row r="24" spans="1:7" x14ac:dyDescent="0.2">
      <c r="A24" s="14"/>
      <c r="B24" s="15"/>
      <c r="C24" s="15"/>
      <c r="D24" s="15"/>
      <c r="E24" s="15"/>
      <c r="F24" s="15"/>
      <c r="G24" s="15"/>
    </row>
    <row r="25" spans="1:7" x14ac:dyDescent="0.2">
      <c r="A25" s="14"/>
      <c r="B25" s="15"/>
      <c r="C25" s="15"/>
      <c r="D25" s="15"/>
      <c r="E25" s="15"/>
      <c r="F25" s="15"/>
      <c r="G25" s="15"/>
    </row>
    <row r="26" spans="1:7" x14ac:dyDescent="0.2">
      <c r="A26" s="14"/>
      <c r="B26" s="15"/>
      <c r="C26" s="15"/>
      <c r="D26" s="15"/>
      <c r="E26" s="15"/>
      <c r="F26" s="15"/>
      <c r="G26" s="15"/>
    </row>
    <row r="27" spans="1:7" x14ac:dyDescent="0.2">
      <c r="A27" s="14"/>
      <c r="B27" s="15"/>
      <c r="C27" s="15"/>
      <c r="D27" s="15"/>
      <c r="E27" s="15"/>
      <c r="F27" s="15"/>
      <c r="G27" s="15"/>
    </row>
    <row r="28" spans="1:7" x14ac:dyDescent="0.2">
      <c r="A28" s="14"/>
      <c r="B28" s="15"/>
      <c r="C28" s="15"/>
      <c r="D28" s="15"/>
      <c r="E28" s="15"/>
      <c r="F28" s="15"/>
      <c r="G28" s="15"/>
    </row>
    <row r="29" spans="1:7" x14ac:dyDescent="0.2">
      <c r="A29" s="14"/>
      <c r="B29" s="15"/>
      <c r="C29" s="15"/>
      <c r="D29" s="15"/>
      <c r="E29" s="15"/>
      <c r="F29" s="15"/>
      <c r="G29" s="15"/>
    </row>
    <row r="30" spans="1:7" x14ac:dyDescent="0.2">
      <c r="A30" s="14"/>
      <c r="B30" s="15"/>
      <c r="C30" s="15"/>
      <c r="D30" s="15"/>
      <c r="E30" s="15"/>
      <c r="F30" s="15"/>
      <c r="G30" s="15"/>
    </row>
    <row r="31" spans="1:7" x14ac:dyDescent="0.2">
      <c r="A31" s="14"/>
      <c r="B31" s="15"/>
      <c r="C31" s="15"/>
      <c r="D31" s="15"/>
      <c r="E31" s="15"/>
      <c r="F31" s="15"/>
      <c r="G31" s="15"/>
    </row>
    <row r="32" spans="1:7" x14ac:dyDescent="0.2">
      <c r="A32" s="14"/>
      <c r="B32" s="15"/>
      <c r="C32" s="15"/>
      <c r="D32" s="15"/>
      <c r="E32" s="15"/>
      <c r="F32" s="15"/>
      <c r="G32" s="15"/>
    </row>
    <row r="33" spans="1:7" x14ac:dyDescent="0.2">
      <c r="A33" s="14"/>
      <c r="B33" s="15"/>
      <c r="C33" s="15"/>
      <c r="D33" s="15"/>
      <c r="E33" s="15"/>
      <c r="F33" s="15"/>
      <c r="G33" s="15"/>
    </row>
    <row r="34" spans="1:7" x14ac:dyDescent="0.2">
      <c r="A34" s="14"/>
      <c r="B34" s="15"/>
      <c r="C34" s="15"/>
      <c r="D34" s="15"/>
      <c r="E34" s="15"/>
      <c r="F34" s="15"/>
      <c r="G34" s="15"/>
    </row>
    <row r="35" spans="1:7" x14ac:dyDescent="0.2">
      <c r="A35" s="14"/>
      <c r="B35" s="15"/>
      <c r="C35" s="15"/>
      <c r="D35" s="15"/>
      <c r="E35" s="15"/>
      <c r="F35" s="15"/>
      <c r="G35" s="15"/>
    </row>
    <row r="36" spans="1:7" x14ac:dyDescent="0.2">
      <c r="A36" s="14"/>
      <c r="B36" s="15"/>
      <c r="C36" s="15"/>
      <c r="D36" s="15"/>
      <c r="E36" s="15"/>
      <c r="F36" s="15"/>
      <c r="G36" s="15"/>
    </row>
    <row r="37" spans="1:7" x14ac:dyDescent="0.2">
      <c r="A37" s="14"/>
      <c r="B37" s="15"/>
      <c r="C37" s="15"/>
      <c r="D37" s="15"/>
      <c r="E37" s="15"/>
      <c r="F37" s="15"/>
      <c r="G37" s="15"/>
    </row>
    <row r="38" spans="1:7" x14ac:dyDescent="0.2">
      <c r="A38" s="14"/>
      <c r="B38" s="15"/>
      <c r="C38" s="15"/>
      <c r="D38" s="15"/>
      <c r="E38" s="15"/>
      <c r="F38" s="15"/>
      <c r="G38" s="15"/>
    </row>
    <row r="39" spans="1:7" x14ac:dyDescent="0.2">
      <c r="A39" s="14"/>
      <c r="B39" s="15"/>
      <c r="C39" s="15"/>
      <c r="D39" s="15"/>
      <c r="E39" s="15"/>
      <c r="F39" s="15"/>
      <c r="G39" s="15"/>
    </row>
    <row r="40" spans="1:7" x14ac:dyDescent="0.2">
      <c r="A40" s="14"/>
      <c r="B40" s="15"/>
      <c r="C40" s="15"/>
      <c r="D40" s="15"/>
      <c r="E40" s="15"/>
      <c r="F40" s="15"/>
      <c r="G40" s="15"/>
    </row>
    <row r="41" spans="1:7" x14ac:dyDescent="0.2">
      <c r="A41" s="14"/>
      <c r="B41" s="15"/>
      <c r="C41" s="15"/>
      <c r="D41" s="15"/>
      <c r="E41" s="15"/>
      <c r="F41" s="15"/>
      <c r="G41" s="15"/>
    </row>
    <row r="42" spans="1:7" x14ac:dyDescent="0.2">
      <c r="A42" s="14"/>
      <c r="B42" s="15"/>
      <c r="C42" s="15"/>
      <c r="D42" s="15"/>
      <c r="E42" s="15"/>
      <c r="F42" s="15"/>
      <c r="G42" s="15"/>
    </row>
    <row r="43" spans="1:7" x14ac:dyDescent="0.2">
      <c r="A43" s="14"/>
      <c r="B43" s="15"/>
      <c r="C43" s="15"/>
      <c r="D43" s="15"/>
      <c r="E43" s="15"/>
      <c r="F43" s="15"/>
      <c r="G43" s="15"/>
    </row>
    <row r="44" spans="1:7" x14ac:dyDescent="0.2">
      <c r="A44" s="14"/>
      <c r="B44" s="15"/>
      <c r="C44" s="15"/>
      <c r="D44" s="15"/>
      <c r="E44" s="15"/>
      <c r="F44" s="15"/>
      <c r="G44" s="15"/>
    </row>
    <row r="45" spans="1:7" x14ac:dyDescent="0.2">
      <c r="A45" s="14"/>
      <c r="B45" s="15"/>
      <c r="C45" s="15"/>
      <c r="D45" s="15"/>
      <c r="E45" s="15"/>
      <c r="F45" s="15"/>
      <c r="G45" s="15"/>
    </row>
    <row r="46" spans="1:7" x14ac:dyDescent="0.2">
      <c r="A46" s="14"/>
      <c r="B46" s="15"/>
      <c r="C46" s="15"/>
      <c r="D46" s="15"/>
      <c r="E46" s="15"/>
      <c r="F46" s="15"/>
      <c r="G46" s="15"/>
    </row>
    <row r="47" spans="1:7" x14ac:dyDescent="0.2">
      <c r="A47" s="14"/>
      <c r="B47" s="15"/>
      <c r="C47" s="15"/>
      <c r="D47" s="15"/>
      <c r="E47" s="15"/>
      <c r="F47" s="15"/>
      <c r="G47" s="15"/>
    </row>
    <row r="48" spans="1:7" x14ac:dyDescent="0.2">
      <c r="A48" s="14"/>
      <c r="B48" s="15"/>
      <c r="C48" s="15"/>
      <c r="D48" s="15"/>
      <c r="E48" s="15"/>
      <c r="F48" s="15"/>
      <c r="G48" s="15"/>
    </row>
    <row r="49" spans="1:7" x14ac:dyDescent="0.2">
      <c r="A49" s="14"/>
      <c r="B49" s="15"/>
      <c r="C49" s="15"/>
      <c r="D49" s="15"/>
      <c r="E49" s="15"/>
      <c r="F49" s="15"/>
      <c r="G49" s="15"/>
    </row>
    <row r="50" spans="1:7" x14ac:dyDescent="0.2">
      <c r="A50" s="14"/>
      <c r="B50" s="15"/>
      <c r="C50" s="15"/>
      <c r="D50" s="15"/>
      <c r="E50" s="15"/>
      <c r="F50" s="15"/>
      <c r="G50" s="15"/>
    </row>
    <row r="51" spans="1:7" x14ac:dyDescent="0.2">
      <c r="A51" s="14"/>
      <c r="B51" s="15"/>
      <c r="C51" s="15"/>
      <c r="D51" s="15"/>
      <c r="E51" s="15"/>
      <c r="F51" s="15"/>
      <c r="G51" s="15"/>
    </row>
    <row r="52" spans="1:7" x14ac:dyDescent="0.2">
      <c r="A52" s="14"/>
      <c r="B52" s="15"/>
      <c r="C52" s="15"/>
      <c r="D52" s="15"/>
      <c r="E52" s="15"/>
      <c r="F52" s="15"/>
      <c r="G52" s="15"/>
    </row>
    <row r="53" spans="1:7" x14ac:dyDescent="0.2">
      <c r="A53" s="14"/>
      <c r="B53" s="15"/>
      <c r="C53" s="15"/>
      <c r="D53" s="15"/>
      <c r="E53" s="15"/>
      <c r="F53" s="15"/>
      <c r="G53" s="15"/>
    </row>
    <row r="54" spans="1:7" x14ac:dyDescent="0.2">
      <c r="A54" s="14"/>
      <c r="B54" s="15"/>
      <c r="C54" s="15"/>
      <c r="D54" s="15"/>
      <c r="E54" s="15"/>
      <c r="F54" s="15"/>
      <c r="G54" s="15"/>
    </row>
    <row r="55" spans="1:7" x14ac:dyDescent="0.2">
      <c r="A55" s="14"/>
      <c r="B55" s="15"/>
      <c r="C55" s="15"/>
      <c r="D55" s="15"/>
      <c r="E55" s="15"/>
      <c r="F55" s="15"/>
      <c r="G55" s="15"/>
    </row>
    <row r="56" spans="1:7" x14ac:dyDescent="0.2">
      <c r="A56" s="14"/>
      <c r="B56" s="15"/>
      <c r="C56" s="15"/>
      <c r="D56" s="15"/>
      <c r="E56" s="15"/>
      <c r="F56" s="15"/>
      <c r="G56" s="15"/>
    </row>
    <row r="57" spans="1:7" x14ac:dyDescent="0.2">
      <c r="A57" s="14"/>
      <c r="B57" s="15"/>
      <c r="C57" s="15"/>
      <c r="D57" s="15"/>
      <c r="E57" s="15"/>
      <c r="F57" s="15"/>
      <c r="G57" s="15"/>
    </row>
    <row r="58" spans="1:7" x14ac:dyDescent="0.2">
      <c r="A58" s="14"/>
      <c r="B58" s="15"/>
      <c r="C58" s="15"/>
      <c r="D58" s="15"/>
      <c r="E58" s="15"/>
      <c r="F58" s="15"/>
      <c r="G58" s="15"/>
    </row>
    <row r="59" spans="1:7" x14ac:dyDescent="0.2">
      <c r="A59" s="14"/>
      <c r="B59" s="15"/>
      <c r="C59" s="15"/>
      <c r="D59" s="15"/>
      <c r="E59" s="15"/>
      <c r="F59" s="15"/>
      <c r="G59" s="15"/>
    </row>
    <row r="60" spans="1:7" x14ac:dyDescent="0.2">
      <c r="A60" s="14"/>
      <c r="B60" s="15"/>
      <c r="C60" s="15"/>
      <c r="D60" s="15"/>
      <c r="E60" s="15"/>
      <c r="F60" s="15"/>
      <c r="G60" s="15"/>
    </row>
    <row r="61" spans="1:7" x14ac:dyDescent="0.2">
      <c r="A61" s="14"/>
      <c r="B61" s="15"/>
      <c r="C61" s="15"/>
      <c r="D61" s="15"/>
      <c r="E61" s="15"/>
      <c r="F61" s="15"/>
      <c r="G61" s="15"/>
    </row>
    <row r="62" spans="1:7" x14ac:dyDescent="0.2">
      <c r="A62" s="14"/>
      <c r="B62" s="15"/>
      <c r="C62" s="15"/>
      <c r="D62" s="15"/>
      <c r="E62" s="15"/>
      <c r="F62" s="15"/>
      <c r="G62" s="15"/>
    </row>
    <row r="63" spans="1:7" x14ac:dyDescent="0.2">
      <c r="A63" s="14"/>
      <c r="B63" s="15"/>
      <c r="C63" s="15"/>
      <c r="D63" s="15"/>
      <c r="E63" s="15"/>
      <c r="F63" s="15"/>
      <c r="G63" s="15"/>
    </row>
    <row r="64" spans="1:7" x14ac:dyDescent="0.2">
      <c r="A64" s="14"/>
      <c r="B64" s="15"/>
      <c r="C64" s="15"/>
      <c r="D64" s="15"/>
      <c r="E64" s="15"/>
      <c r="F64" s="15"/>
      <c r="G64" s="15"/>
    </row>
    <row r="65" spans="1:7" x14ac:dyDescent="0.2">
      <c r="A65" s="14"/>
      <c r="B65" s="15"/>
      <c r="C65" s="15"/>
      <c r="D65" s="15"/>
      <c r="E65" s="15"/>
      <c r="F65" s="15"/>
      <c r="G65" s="15"/>
    </row>
    <row r="66" spans="1:7" x14ac:dyDescent="0.2">
      <c r="A66" s="14"/>
      <c r="B66" s="15"/>
      <c r="C66" s="15"/>
      <c r="D66" s="15"/>
      <c r="E66" s="15"/>
      <c r="F66" s="15"/>
      <c r="G66" s="15"/>
    </row>
    <row r="67" spans="1:7" x14ac:dyDescent="0.2">
      <c r="A67" s="14"/>
      <c r="B67" s="15"/>
      <c r="C67" s="15"/>
      <c r="D67" s="15"/>
      <c r="E67" s="15"/>
      <c r="F67" s="15"/>
      <c r="G67" s="15"/>
    </row>
    <row r="68" spans="1:7" x14ac:dyDescent="0.2">
      <c r="A68" s="14"/>
      <c r="B68" s="15"/>
      <c r="C68" s="15"/>
      <c r="D68" s="15"/>
      <c r="E68" s="15"/>
      <c r="F68" s="15"/>
      <c r="G68" s="15"/>
    </row>
    <row r="69" spans="1:7" x14ac:dyDescent="0.2">
      <c r="A69" s="14"/>
      <c r="B69" s="15"/>
      <c r="C69" s="15"/>
      <c r="D69" s="15"/>
      <c r="E69" s="15"/>
      <c r="F69" s="15"/>
      <c r="G69" s="15"/>
    </row>
    <row r="70" spans="1:7" x14ac:dyDescent="0.2">
      <c r="A70" s="14"/>
      <c r="B70" s="15"/>
      <c r="C70" s="15"/>
      <c r="D70" s="15"/>
      <c r="E70" s="15"/>
      <c r="F70" s="15"/>
      <c r="G70" s="15"/>
    </row>
    <row r="71" spans="1:7" x14ac:dyDescent="0.2">
      <c r="A71" s="14"/>
      <c r="B71" s="15"/>
      <c r="C71" s="15"/>
      <c r="D71" s="15"/>
      <c r="E71" s="15"/>
      <c r="F71" s="15"/>
      <c r="G71" s="15"/>
    </row>
    <row r="72" spans="1:7" x14ac:dyDescent="0.2">
      <c r="A72" s="14"/>
      <c r="B72" s="15"/>
      <c r="C72" s="15"/>
      <c r="D72" s="15"/>
      <c r="E72" s="15"/>
      <c r="F72" s="15"/>
      <c r="G72" s="15"/>
    </row>
    <row r="73" spans="1:7" x14ac:dyDescent="0.2">
      <c r="A73" s="14"/>
      <c r="B73" s="15"/>
      <c r="C73" s="15"/>
      <c r="D73" s="15"/>
      <c r="E73" s="15"/>
      <c r="F73" s="15"/>
      <c r="G73" s="15"/>
    </row>
    <row r="74" spans="1:7" x14ac:dyDescent="0.2">
      <c r="A74" s="14"/>
      <c r="B74" s="15"/>
      <c r="C74" s="15"/>
      <c r="D74" s="15"/>
      <c r="E74" s="15"/>
      <c r="F74" s="15"/>
      <c r="G74" s="15"/>
    </row>
    <row r="75" spans="1:7" x14ac:dyDescent="0.2">
      <c r="A75" s="14"/>
      <c r="B75" s="15"/>
      <c r="C75" s="15"/>
      <c r="D75" s="15"/>
      <c r="E75" s="15"/>
      <c r="F75" s="15"/>
      <c r="G75" s="15"/>
    </row>
    <row r="76" spans="1:7" x14ac:dyDescent="0.2">
      <c r="A76" s="14"/>
      <c r="B76" s="15"/>
      <c r="C76" s="15"/>
      <c r="D76" s="15"/>
      <c r="E76" s="15"/>
      <c r="F76" s="15"/>
      <c r="G76" s="15"/>
    </row>
    <row r="77" spans="1:7" x14ac:dyDescent="0.2">
      <c r="A77" s="14"/>
      <c r="B77" s="15"/>
      <c r="C77" s="15"/>
      <c r="D77" s="15"/>
      <c r="E77" s="15"/>
      <c r="F77" s="15"/>
      <c r="G77" s="15"/>
    </row>
    <row r="78" spans="1:7" x14ac:dyDescent="0.2">
      <c r="A78" s="14"/>
      <c r="B78" s="15"/>
      <c r="C78" s="15"/>
      <c r="D78" s="15"/>
      <c r="E78" s="15"/>
      <c r="F78" s="15"/>
      <c r="G78" s="15"/>
    </row>
    <row r="79" spans="1:7" x14ac:dyDescent="0.2">
      <c r="A79" s="14"/>
      <c r="B79" s="15"/>
      <c r="C79" s="15"/>
      <c r="D79" s="15"/>
      <c r="E79" s="15"/>
      <c r="F79" s="15"/>
      <c r="G79" s="15"/>
    </row>
    <row r="80" spans="1:7" x14ac:dyDescent="0.2">
      <c r="A80" s="14"/>
      <c r="B80" s="15"/>
      <c r="C80" s="15"/>
      <c r="D80" s="15"/>
      <c r="E80" s="15"/>
      <c r="F80" s="15"/>
      <c r="G80" s="15"/>
    </row>
    <row r="81" spans="1:7" x14ac:dyDescent="0.2">
      <c r="A81" s="14"/>
      <c r="B81" s="15"/>
      <c r="C81" s="15"/>
      <c r="D81" s="15"/>
      <c r="E81" s="15"/>
      <c r="F81" s="15"/>
      <c r="G81" s="15"/>
    </row>
    <row r="82" spans="1:7" x14ac:dyDescent="0.2">
      <c r="A82" s="14"/>
      <c r="B82" s="15"/>
      <c r="C82" s="15"/>
      <c r="D82" s="15"/>
      <c r="E82" s="15"/>
      <c r="F82" s="15"/>
      <c r="G82" s="15"/>
    </row>
    <row r="83" spans="1:7" x14ac:dyDescent="0.2">
      <c r="A83" s="14"/>
      <c r="B83" s="15"/>
      <c r="C83" s="15"/>
      <c r="D83" s="15"/>
      <c r="E83" s="15"/>
      <c r="F83" s="15"/>
      <c r="G83" s="15"/>
    </row>
    <row r="84" spans="1:7" x14ac:dyDescent="0.2">
      <c r="A84" s="14"/>
      <c r="B84" s="15"/>
      <c r="C84" s="15"/>
      <c r="D84" s="15"/>
      <c r="E84" s="15"/>
      <c r="F84" s="15"/>
      <c r="G84" s="15"/>
    </row>
    <row r="85" spans="1:7" x14ac:dyDescent="0.2">
      <c r="A85" s="14"/>
      <c r="B85" s="15"/>
      <c r="C85" s="15"/>
      <c r="D85" s="15"/>
      <c r="E85" s="15"/>
      <c r="F85" s="15"/>
      <c r="G85" s="15"/>
    </row>
    <row r="86" spans="1:7" x14ac:dyDescent="0.2">
      <c r="A86" s="14"/>
      <c r="B86" s="15"/>
      <c r="C86" s="15"/>
      <c r="D86" s="15"/>
      <c r="E86" s="15"/>
      <c r="F86" s="15"/>
      <c r="G86" s="15"/>
    </row>
    <row r="87" spans="1:7" x14ac:dyDescent="0.2">
      <c r="A87" s="14"/>
      <c r="B87" s="15"/>
      <c r="C87" s="15"/>
      <c r="D87" s="15"/>
      <c r="E87" s="15"/>
      <c r="F87" s="15"/>
      <c r="G87" s="15"/>
    </row>
    <row r="88" spans="1:7" x14ac:dyDescent="0.2">
      <c r="A88" s="14"/>
      <c r="B88" s="15"/>
      <c r="C88" s="15"/>
      <c r="D88" s="15"/>
      <c r="E88" s="15"/>
      <c r="F88" s="15"/>
      <c r="G88" s="15"/>
    </row>
    <row r="89" spans="1:7" x14ac:dyDescent="0.2">
      <c r="A89" s="14"/>
      <c r="B89" s="15"/>
      <c r="C89" s="15"/>
      <c r="D89" s="15"/>
      <c r="E89" s="15"/>
      <c r="F89" s="15"/>
      <c r="G89" s="15"/>
    </row>
    <row r="90" spans="1:7" x14ac:dyDescent="0.2">
      <c r="A90" s="14"/>
      <c r="B90" s="15"/>
      <c r="C90" s="15"/>
      <c r="D90" s="15"/>
      <c r="E90" s="15"/>
      <c r="F90" s="15"/>
      <c r="G90" s="15"/>
    </row>
    <row r="91" spans="1:7" x14ac:dyDescent="0.2">
      <c r="A91" s="14"/>
      <c r="B91" s="15"/>
      <c r="C91" s="15"/>
      <c r="D91" s="15"/>
      <c r="E91" s="15"/>
      <c r="F91" s="15"/>
      <c r="G91" s="15"/>
    </row>
    <row r="92" spans="1:7" x14ac:dyDescent="0.2">
      <c r="A92" s="14"/>
      <c r="B92" s="15"/>
      <c r="C92" s="15"/>
      <c r="D92" s="15"/>
      <c r="E92" s="15"/>
      <c r="F92" s="15"/>
      <c r="G92" s="15"/>
    </row>
    <row r="93" spans="1:7" x14ac:dyDescent="0.2">
      <c r="A93" s="14"/>
      <c r="B93" s="15"/>
      <c r="C93" s="15"/>
      <c r="D93" s="15"/>
      <c r="E93" s="15"/>
      <c r="F93" s="15"/>
      <c r="G93" s="15"/>
    </row>
    <row r="94" spans="1:7" x14ac:dyDescent="0.2">
      <c r="A94" s="14"/>
      <c r="B94" s="15"/>
      <c r="C94" s="15"/>
      <c r="D94" s="15"/>
      <c r="E94" s="15"/>
      <c r="F94" s="15"/>
      <c r="G94" s="15"/>
    </row>
    <row r="95" spans="1:7" x14ac:dyDescent="0.2">
      <c r="A95" s="14"/>
      <c r="B95" s="15"/>
      <c r="C95" s="15"/>
      <c r="D95" s="15"/>
      <c r="E95" s="15"/>
      <c r="F95" s="15"/>
      <c r="G95" s="15"/>
    </row>
    <row r="96" spans="1:7" x14ac:dyDescent="0.2">
      <c r="A96" s="14"/>
      <c r="B96" s="15"/>
      <c r="C96" s="15"/>
      <c r="D96" s="15"/>
      <c r="E96" s="15"/>
      <c r="F96" s="15"/>
      <c r="G96" s="15"/>
    </row>
    <row r="97" spans="1:7" x14ac:dyDescent="0.2">
      <c r="A97" s="14"/>
      <c r="B97" s="15"/>
      <c r="C97" s="15"/>
      <c r="D97" s="15"/>
      <c r="E97" s="15"/>
      <c r="F97" s="15"/>
      <c r="G97" s="15"/>
    </row>
    <row r="98" spans="1:7" x14ac:dyDescent="0.2">
      <c r="A98" s="14"/>
      <c r="B98" s="15"/>
      <c r="C98" s="15"/>
      <c r="D98" s="15"/>
      <c r="E98" s="15"/>
      <c r="F98" s="15"/>
      <c r="G98" s="15"/>
    </row>
    <row r="99" spans="1:7" x14ac:dyDescent="0.2">
      <c r="A99" s="14"/>
      <c r="B99" s="15"/>
      <c r="C99" s="15"/>
      <c r="D99" s="15"/>
      <c r="E99" s="15"/>
      <c r="F99" s="15"/>
      <c r="G99" s="15"/>
    </row>
    <row r="100" spans="1:7" x14ac:dyDescent="0.2">
      <c r="A100" s="14"/>
      <c r="B100" s="15"/>
      <c r="C100" s="15"/>
      <c r="D100" s="15"/>
      <c r="E100" s="15"/>
      <c r="F100" s="15"/>
      <c r="G100" s="15"/>
    </row>
    <row r="101" spans="1:7" x14ac:dyDescent="0.2">
      <c r="A101" s="14"/>
      <c r="B101" s="15"/>
      <c r="C101" s="15"/>
      <c r="D101" s="15"/>
      <c r="E101" s="15"/>
      <c r="F101" s="15"/>
      <c r="G101" s="15"/>
    </row>
    <row r="102" spans="1:7" x14ac:dyDescent="0.2">
      <c r="A102" s="11"/>
    </row>
    <row r="103" spans="1:7" x14ac:dyDescent="0.2">
      <c r="A103" s="11"/>
    </row>
    <row r="104" spans="1:7" x14ac:dyDescent="0.2">
      <c r="A104" s="11"/>
    </row>
    <row r="105" spans="1:7" x14ac:dyDescent="0.2">
      <c r="A105" s="11"/>
    </row>
    <row r="106" spans="1:7" x14ac:dyDescent="0.2">
      <c r="A106" s="11"/>
    </row>
    <row r="107" spans="1:7" x14ac:dyDescent="0.2">
      <c r="A107" s="11"/>
    </row>
  </sheetData>
  <sortState ref="A2:I12">
    <sortCondition descending="1" ref="F2"/>
  </sortState>
  <pageMargins left="0.7" right="0.22" top="0.56999999999999995" bottom="0.75" header="0.3" footer="0.3"/>
  <pageSetup paperSize="9" scale="61" fitToWidth="0" fitToHeight="0"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6"/>
  <sheetViews>
    <sheetView zoomScale="190" zoomScaleNormal="190" workbookViewId="0">
      <selection activeCell="C2" sqref="C2"/>
    </sheetView>
  </sheetViews>
  <sheetFormatPr defaultRowHeight="14.25" x14ac:dyDescent="0.2"/>
  <sheetData>
    <row r="1" spans="1:6" x14ac:dyDescent="0.2">
      <c r="A1" s="23" t="s">
        <v>275</v>
      </c>
      <c r="B1" s="23"/>
      <c r="C1" s="23"/>
      <c r="D1" s="23"/>
      <c r="E1" s="23" t="s">
        <v>276</v>
      </c>
      <c r="F1" s="23"/>
    </row>
    <row r="2" spans="1:6" x14ac:dyDescent="0.2">
      <c r="A2" t="s">
        <v>270</v>
      </c>
      <c r="B2" t="s">
        <v>272</v>
      </c>
      <c r="C2" t="s">
        <v>280</v>
      </c>
      <c r="D2" t="s">
        <v>271</v>
      </c>
      <c r="E2" t="s">
        <v>273</v>
      </c>
      <c r="F2" t="s">
        <v>274</v>
      </c>
    </row>
    <row r="3" spans="1:6" x14ac:dyDescent="0.2">
      <c r="A3" t="s">
        <v>277</v>
      </c>
      <c r="B3">
        <v>35</v>
      </c>
      <c r="C3">
        <v>35</v>
      </c>
      <c r="D3">
        <f>B3*C3</f>
        <v>1225</v>
      </c>
      <c r="E3">
        <v>10</v>
      </c>
      <c r="F3">
        <v>35</v>
      </c>
    </row>
    <row r="4" spans="1:6" x14ac:dyDescent="0.2">
      <c r="A4" t="s">
        <v>278</v>
      </c>
      <c r="B4">
        <v>25</v>
      </c>
      <c r="C4">
        <v>40</v>
      </c>
      <c r="D4">
        <f t="shared" ref="D4:D5" si="0">B4*C4</f>
        <v>1000</v>
      </c>
      <c r="E4">
        <v>20</v>
      </c>
      <c r="F4">
        <v>40</v>
      </c>
    </row>
    <row r="5" spans="1:6" x14ac:dyDescent="0.2">
      <c r="A5" t="s">
        <v>279</v>
      </c>
      <c r="B5">
        <v>40</v>
      </c>
      <c r="C5">
        <v>50</v>
      </c>
      <c r="D5">
        <f t="shared" si="0"/>
        <v>2000</v>
      </c>
      <c r="E5">
        <v>15</v>
      </c>
      <c r="F5">
        <v>50</v>
      </c>
    </row>
    <row r="6" spans="1:6" x14ac:dyDescent="0.2">
      <c r="C6" t="s">
        <v>86</v>
      </c>
      <c r="D6">
        <f>SUM(D3:D5)</f>
        <v>4225</v>
      </c>
    </row>
  </sheetData>
  <mergeCells count="2">
    <mergeCell ref="A1:D1"/>
    <mergeCell ref="E1:F1"/>
  </mergeCell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G107"/>
  <sheetViews>
    <sheetView zoomScale="190" zoomScaleNormal="190" workbookViewId="0"/>
  </sheetViews>
  <sheetFormatPr defaultRowHeight="14.25" x14ac:dyDescent="0.2"/>
  <cols>
    <col min="1" max="1" width="5.75" style="12" bestFit="1" customWidth="1"/>
    <col min="2" max="2" width="19.125" customWidth="1"/>
    <col min="3" max="3" width="12.25" customWidth="1"/>
    <col min="4" max="4" width="7.5" customWidth="1"/>
  </cols>
  <sheetData>
    <row r="1" spans="1:7" x14ac:dyDescent="0.2">
      <c r="A1" s="13" t="s">
        <v>55</v>
      </c>
      <c r="B1" s="13" t="s">
        <v>73</v>
      </c>
      <c r="C1" s="13" t="s">
        <v>81</v>
      </c>
      <c r="D1" s="13" t="s">
        <v>84</v>
      </c>
      <c r="E1" s="19" t="s">
        <v>85</v>
      </c>
      <c r="F1" s="19" t="s">
        <v>86</v>
      </c>
    </row>
    <row r="2" spans="1:7" x14ac:dyDescent="0.2">
      <c r="A2" s="14">
        <v>1</v>
      </c>
      <c r="B2" s="15" t="s">
        <v>56</v>
      </c>
      <c r="C2" s="15" t="s">
        <v>82</v>
      </c>
      <c r="D2" s="15">
        <v>32</v>
      </c>
      <c r="E2">
        <v>293</v>
      </c>
      <c r="F2">
        <f>D2*E2</f>
        <v>9376</v>
      </c>
    </row>
    <row r="3" spans="1:7" x14ac:dyDescent="0.2">
      <c r="A3" s="14">
        <v>2</v>
      </c>
      <c r="B3" s="15" t="s">
        <v>57</v>
      </c>
      <c r="C3" s="15" t="s">
        <v>83</v>
      </c>
      <c r="D3" s="15">
        <v>25</v>
      </c>
      <c r="E3">
        <v>294</v>
      </c>
      <c r="F3">
        <f t="shared" ref="F3:F66" si="0">D3*E3</f>
        <v>7350</v>
      </c>
    </row>
    <row r="4" spans="1:7" x14ac:dyDescent="0.2">
      <c r="A4" s="14">
        <v>3</v>
      </c>
      <c r="B4" s="15" t="s">
        <v>58</v>
      </c>
      <c r="C4" s="15" t="s">
        <v>82</v>
      </c>
      <c r="D4" s="15">
        <v>36</v>
      </c>
      <c r="E4">
        <v>215</v>
      </c>
      <c r="F4">
        <f t="shared" si="0"/>
        <v>7740</v>
      </c>
    </row>
    <row r="5" spans="1:7" x14ac:dyDescent="0.2">
      <c r="A5" s="14">
        <v>4</v>
      </c>
      <c r="B5" s="15" t="s">
        <v>59</v>
      </c>
      <c r="C5" s="15" t="s">
        <v>83</v>
      </c>
      <c r="D5" s="15">
        <v>25</v>
      </c>
      <c r="E5">
        <v>234</v>
      </c>
      <c r="F5">
        <f t="shared" si="0"/>
        <v>5850</v>
      </c>
    </row>
    <row r="6" spans="1:7" x14ac:dyDescent="0.2">
      <c r="A6" s="14">
        <v>5</v>
      </c>
      <c r="B6" s="15" t="s">
        <v>60</v>
      </c>
      <c r="C6" s="15" t="s">
        <v>82</v>
      </c>
      <c r="D6" s="15">
        <v>58</v>
      </c>
      <c r="E6">
        <v>211</v>
      </c>
      <c r="F6">
        <f t="shared" si="0"/>
        <v>12238</v>
      </c>
    </row>
    <row r="7" spans="1:7" x14ac:dyDescent="0.2">
      <c r="A7" s="14">
        <v>6</v>
      </c>
      <c r="B7" s="15" t="s">
        <v>61</v>
      </c>
      <c r="C7" s="15" t="s">
        <v>83</v>
      </c>
      <c r="D7" s="15">
        <v>24</v>
      </c>
      <c r="E7">
        <v>286</v>
      </c>
      <c r="F7">
        <f t="shared" si="0"/>
        <v>6864</v>
      </c>
    </row>
    <row r="8" spans="1:7" x14ac:dyDescent="0.2">
      <c r="A8" s="14">
        <v>7</v>
      </c>
      <c r="B8" s="15" t="s">
        <v>62</v>
      </c>
      <c r="C8" s="15" t="s">
        <v>82</v>
      </c>
      <c r="D8" s="15">
        <v>56</v>
      </c>
      <c r="E8">
        <v>236</v>
      </c>
      <c r="F8">
        <f t="shared" si="0"/>
        <v>13216</v>
      </c>
    </row>
    <row r="9" spans="1:7" x14ac:dyDescent="0.2">
      <c r="A9" s="14">
        <v>8</v>
      </c>
      <c r="B9" s="15" t="s">
        <v>63</v>
      </c>
      <c r="C9" s="15" t="s">
        <v>83</v>
      </c>
      <c r="D9" s="15">
        <v>27</v>
      </c>
      <c r="E9">
        <v>243</v>
      </c>
      <c r="F9">
        <f t="shared" si="0"/>
        <v>6561</v>
      </c>
    </row>
    <row r="10" spans="1:7" x14ac:dyDescent="0.2">
      <c r="A10" s="14">
        <v>9</v>
      </c>
      <c r="B10" s="15" t="s">
        <v>64</v>
      </c>
      <c r="C10" s="15" t="s">
        <v>82</v>
      </c>
      <c r="D10" s="15">
        <v>40</v>
      </c>
      <c r="E10">
        <v>219</v>
      </c>
      <c r="F10">
        <f t="shared" si="0"/>
        <v>8760</v>
      </c>
    </row>
    <row r="11" spans="1:7" x14ac:dyDescent="0.2">
      <c r="A11" s="14">
        <v>10</v>
      </c>
      <c r="B11" s="15" t="s">
        <v>65</v>
      </c>
      <c r="C11" s="15" t="s">
        <v>83</v>
      </c>
      <c r="D11" s="15">
        <v>28</v>
      </c>
      <c r="E11">
        <v>242</v>
      </c>
      <c r="F11">
        <f t="shared" si="0"/>
        <v>6776</v>
      </c>
    </row>
    <row r="12" spans="1:7" x14ac:dyDescent="0.2">
      <c r="A12" s="14">
        <v>11</v>
      </c>
      <c r="B12" s="15" t="s">
        <v>66</v>
      </c>
      <c r="C12" s="15" t="s">
        <v>82</v>
      </c>
      <c r="D12" s="15">
        <v>39</v>
      </c>
      <c r="E12">
        <v>251</v>
      </c>
      <c r="F12">
        <f t="shared" si="0"/>
        <v>9789</v>
      </c>
    </row>
    <row r="13" spans="1:7" x14ac:dyDescent="0.2">
      <c r="A13" s="14">
        <v>12</v>
      </c>
      <c r="B13" s="15" t="s">
        <v>67</v>
      </c>
      <c r="C13" s="15" t="s">
        <v>83</v>
      </c>
      <c r="D13" s="15">
        <v>38</v>
      </c>
      <c r="E13">
        <v>248</v>
      </c>
      <c r="F13">
        <f t="shared" si="0"/>
        <v>9424</v>
      </c>
    </row>
    <row r="14" spans="1:7" x14ac:dyDescent="0.2">
      <c r="A14" s="14">
        <v>13</v>
      </c>
      <c r="B14" s="15" t="s">
        <v>68</v>
      </c>
      <c r="C14" s="15" t="s">
        <v>82</v>
      </c>
      <c r="D14" s="15">
        <v>32</v>
      </c>
      <c r="E14">
        <v>230</v>
      </c>
      <c r="F14">
        <f t="shared" si="0"/>
        <v>7360</v>
      </c>
    </row>
    <row r="15" spans="1:7" x14ac:dyDescent="0.2">
      <c r="A15" s="14">
        <v>14</v>
      </c>
      <c r="B15" s="15" t="s">
        <v>69</v>
      </c>
      <c r="C15" s="15" t="s">
        <v>83</v>
      </c>
      <c r="D15" s="15">
        <v>26</v>
      </c>
      <c r="E15">
        <v>281</v>
      </c>
      <c r="F15">
        <f t="shared" si="0"/>
        <v>7306</v>
      </c>
    </row>
    <row r="16" spans="1:7" x14ac:dyDescent="0.2">
      <c r="A16" s="14">
        <v>15</v>
      </c>
      <c r="B16" s="15" t="s">
        <v>70</v>
      </c>
      <c r="C16" s="15" t="s">
        <v>82</v>
      </c>
      <c r="D16" s="15">
        <v>31</v>
      </c>
      <c r="E16">
        <v>261</v>
      </c>
      <c r="F16">
        <f t="shared" si="0"/>
        <v>8091</v>
      </c>
    </row>
    <row r="17" spans="1:6" x14ac:dyDescent="0.2">
      <c r="A17" s="14">
        <v>16</v>
      </c>
      <c r="B17" s="15" t="s">
        <v>71</v>
      </c>
      <c r="C17" s="15" t="s">
        <v>83</v>
      </c>
      <c r="D17" s="15">
        <v>24</v>
      </c>
      <c r="E17">
        <v>274</v>
      </c>
      <c r="F17">
        <f t="shared" si="0"/>
        <v>6576</v>
      </c>
    </row>
    <row r="18" spans="1:6" x14ac:dyDescent="0.2">
      <c r="A18" s="14">
        <v>17</v>
      </c>
      <c r="B18" s="15" t="s">
        <v>72</v>
      </c>
      <c r="C18" s="15" t="s">
        <v>82</v>
      </c>
      <c r="D18" s="15">
        <v>39</v>
      </c>
      <c r="E18">
        <v>283</v>
      </c>
      <c r="F18">
        <f t="shared" si="0"/>
        <v>11037</v>
      </c>
    </row>
    <row r="19" spans="1:6" x14ac:dyDescent="0.2">
      <c r="A19" s="14">
        <v>18</v>
      </c>
      <c r="B19" s="15" t="s">
        <v>56</v>
      </c>
      <c r="C19" s="15" t="s">
        <v>83</v>
      </c>
      <c r="D19" s="15">
        <v>28</v>
      </c>
      <c r="E19">
        <v>249</v>
      </c>
      <c r="F19">
        <f t="shared" si="0"/>
        <v>6972</v>
      </c>
    </row>
    <row r="20" spans="1:6" x14ac:dyDescent="0.2">
      <c r="A20" s="14">
        <v>19</v>
      </c>
      <c r="B20" s="15" t="s">
        <v>57</v>
      </c>
      <c r="C20" s="15" t="s">
        <v>82</v>
      </c>
      <c r="D20" s="15">
        <v>26</v>
      </c>
      <c r="E20">
        <v>226</v>
      </c>
      <c r="F20">
        <f t="shared" si="0"/>
        <v>5876</v>
      </c>
    </row>
    <row r="21" spans="1:6" x14ac:dyDescent="0.2">
      <c r="A21" s="14">
        <v>20</v>
      </c>
      <c r="B21" s="15" t="s">
        <v>58</v>
      </c>
      <c r="C21" s="15" t="s">
        <v>83</v>
      </c>
      <c r="D21" s="15">
        <v>46</v>
      </c>
      <c r="E21">
        <v>275</v>
      </c>
      <c r="F21">
        <f t="shared" si="0"/>
        <v>12650</v>
      </c>
    </row>
    <row r="22" spans="1:6" x14ac:dyDescent="0.2">
      <c r="A22" s="14">
        <v>21</v>
      </c>
      <c r="B22" s="15" t="s">
        <v>59</v>
      </c>
      <c r="C22" s="15" t="s">
        <v>82</v>
      </c>
      <c r="D22" s="15">
        <v>37</v>
      </c>
      <c r="E22">
        <v>286</v>
      </c>
      <c r="F22">
        <f t="shared" si="0"/>
        <v>10582</v>
      </c>
    </row>
    <row r="23" spans="1:6" x14ac:dyDescent="0.2">
      <c r="A23" s="14">
        <v>22</v>
      </c>
      <c r="B23" s="15" t="s">
        <v>60</v>
      </c>
      <c r="C23" s="15" t="s">
        <v>83</v>
      </c>
      <c r="D23" s="15">
        <v>52</v>
      </c>
      <c r="E23">
        <v>220</v>
      </c>
      <c r="F23">
        <f t="shared" si="0"/>
        <v>11440</v>
      </c>
    </row>
    <row r="24" spans="1:6" x14ac:dyDescent="0.2">
      <c r="A24" s="14">
        <v>23</v>
      </c>
      <c r="B24" s="15" t="s">
        <v>61</v>
      </c>
      <c r="C24" s="15" t="s">
        <v>82</v>
      </c>
      <c r="D24" s="15">
        <v>46</v>
      </c>
      <c r="E24">
        <v>247</v>
      </c>
      <c r="F24">
        <f t="shared" si="0"/>
        <v>11362</v>
      </c>
    </row>
    <row r="25" spans="1:6" x14ac:dyDescent="0.2">
      <c r="A25" s="14">
        <v>24</v>
      </c>
      <c r="B25" s="15" t="s">
        <v>62</v>
      </c>
      <c r="C25" s="15" t="s">
        <v>83</v>
      </c>
      <c r="D25" s="15">
        <v>42</v>
      </c>
      <c r="E25">
        <v>255</v>
      </c>
      <c r="F25">
        <f t="shared" si="0"/>
        <v>10710</v>
      </c>
    </row>
    <row r="26" spans="1:6" x14ac:dyDescent="0.2">
      <c r="A26" s="14">
        <v>25</v>
      </c>
      <c r="B26" s="15" t="s">
        <v>63</v>
      </c>
      <c r="C26" s="15" t="s">
        <v>82</v>
      </c>
      <c r="D26" s="15">
        <v>21</v>
      </c>
      <c r="E26">
        <v>284</v>
      </c>
      <c r="F26">
        <f t="shared" si="0"/>
        <v>5964</v>
      </c>
    </row>
    <row r="27" spans="1:6" x14ac:dyDescent="0.2">
      <c r="A27" s="14">
        <v>26</v>
      </c>
      <c r="B27" s="15" t="s">
        <v>64</v>
      </c>
      <c r="C27" s="15" t="s">
        <v>83</v>
      </c>
      <c r="D27" s="15">
        <v>28</v>
      </c>
      <c r="E27">
        <v>260</v>
      </c>
      <c r="F27">
        <f t="shared" si="0"/>
        <v>7280</v>
      </c>
    </row>
    <row r="28" spans="1:6" x14ac:dyDescent="0.2">
      <c r="A28" s="14">
        <v>27</v>
      </c>
      <c r="B28" s="15" t="s">
        <v>65</v>
      </c>
      <c r="C28" s="15" t="s">
        <v>82</v>
      </c>
      <c r="D28" s="15">
        <v>29</v>
      </c>
      <c r="E28">
        <v>211</v>
      </c>
      <c r="F28">
        <f t="shared" si="0"/>
        <v>6119</v>
      </c>
    </row>
    <row r="29" spans="1:6" x14ac:dyDescent="0.2">
      <c r="A29" s="14">
        <v>28</v>
      </c>
      <c r="B29" s="15" t="s">
        <v>66</v>
      </c>
      <c r="C29" s="15" t="s">
        <v>83</v>
      </c>
      <c r="D29" s="15">
        <v>23</v>
      </c>
      <c r="E29">
        <v>243</v>
      </c>
      <c r="F29">
        <f t="shared" si="0"/>
        <v>5589</v>
      </c>
    </row>
    <row r="30" spans="1:6" x14ac:dyDescent="0.2">
      <c r="A30" s="14">
        <v>29</v>
      </c>
      <c r="B30" s="15" t="s">
        <v>67</v>
      </c>
      <c r="C30" s="15" t="s">
        <v>82</v>
      </c>
      <c r="D30" s="15">
        <v>41</v>
      </c>
      <c r="E30">
        <v>285</v>
      </c>
      <c r="F30">
        <f t="shared" si="0"/>
        <v>11685</v>
      </c>
    </row>
    <row r="31" spans="1:6" x14ac:dyDescent="0.2">
      <c r="A31" s="14">
        <v>30</v>
      </c>
      <c r="B31" s="15" t="s">
        <v>68</v>
      </c>
      <c r="C31" s="15" t="s">
        <v>83</v>
      </c>
      <c r="D31" s="15">
        <v>28</v>
      </c>
      <c r="E31">
        <v>263</v>
      </c>
      <c r="F31">
        <f t="shared" si="0"/>
        <v>7364</v>
      </c>
    </row>
    <row r="32" spans="1:6" x14ac:dyDescent="0.2">
      <c r="A32" s="14">
        <v>31</v>
      </c>
      <c r="B32" s="15" t="s">
        <v>69</v>
      </c>
      <c r="C32" s="15" t="s">
        <v>82</v>
      </c>
      <c r="D32" s="15">
        <v>37</v>
      </c>
      <c r="E32">
        <v>223</v>
      </c>
      <c r="F32">
        <f t="shared" si="0"/>
        <v>8251</v>
      </c>
    </row>
    <row r="33" spans="1:6" x14ac:dyDescent="0.2">
      <c r="A33" s="14">
        <v>32</v>
      </c>
      <c r="B33" s="15" t="s">
        <v>70</v>
      </c>
      <c r="C33" s="15" t="s">
        <v>83</v>
      </c>
      <c r="D33" s="15">
        <v>34</v>
      </c>
      <c r="E33">
        <v>219</v>
      </c>
      <c r="F33">
        <f t="shared" si="0"/>
        <v>7446</v>
      </c>
    </row>
    <row r="34" spans="1:6" x14ac:dyDescent="0.2">
      <c r="A34" s="14">
        <v>33</v>
      </c>
      <c r="B34" s="15" t="s">
        <v>71</v>
      </c>
      <c r="C34" s="15" t="s">
        <v>82</v>
      </c>
      <c r="D34" s="15">
        <v>26</v>
      </c>
      <c r="E34">
        <v>249</v>
      </c>
      <c r="F34">
        <f t="shared" si="0"/>
        <v>6474</v>
      </c>
    </row>
    <row r="35" spans="1:6" x14ac:dyDescent="0.2">
      <c r="A35" s="14">
        <v>34</v>
      </c>
      <c r="B35" s="15" t="s">
        <v>72</v>
      </c>
      <c r="C35" s="15" t="s">
        <v>83</v>
      </c>
      <c r="D35" s="15">
        <v>35</v>
      </c>
      <c r="E35">
        <v>283</v>
      </c>
      <c r="F35">
        <f t="shared" si="0"/>
        <v>9905</v>
      </c>
    </row>
    <row r="36" spans="1:6" x14ac:dyDescent="0.2">
      <c r="A36" s="14">
        <v>35</v>
      </c>
      <c r="B36" s="15" t="s">
        <v>56</v>
      </c>
      <c r="C36" s="15" t="s">
        <v>82</v>
      </c>
      <c r="D36" s="15">
        <v>36</v>
      </c>
      <c r="E36">
        <v>200</v>
      </c>
      <c r="F36">
        <f t="shared" si="0"/>
        <v>7200</v>
      </c>
    </row>
    <row r="37" spans="1:6" x14ac:dyDescent="0.2">
      <c r="A37" s="14">
        <v>36</v>
      </c>
      <c r="B37" s="15" t="s">
        <v>57</v>
      </c>
      <c r="C37" s="15" t="s">
        <v>83</v>
      </c>
      <c r="D37" s="15">
        <v>29</v>
      </c>
      <c r="E37">
        <v>209</v>
      </c>
      <c r="F37">
        <f t="shared" si="0"/>
        <v>6061</v>
      </c>
    </row>
    <row r="38" spans="1:6" x14ac:dyDescent="0.2">
      <c r="A38" s="14">
        <v>37</v>
      </c>
      <c r="B38" s="15" t="s">
        <v>58</v>
      </c>
      <c r="C38" s="15" t="s">
        <v>82</v>
      </c>
      <c r="D38" s="15">
        <v>27</v>
      </c>
      <c r="E38">
        <v>279</v>
      </c>
      <c r="F38">
        <f t="shared" si="0"/>
        <v>7533</v>
      </c>
    </row>
    <row r="39" spans="1:6" x14ac:dyDescent="0.2">
      <c r="A39" s="14">
        <v>38</v>
      </c>
      <c r="B39" s="15" t="s">
        <v>59</v>
      </c>
      <c r="C39" s="15" t="s">
        <v>83</v>
      </c>
      <c r="D39" s="15">
        <v>25</v>
      </c>
      <c r="E39">
        <v>281</v>
      </c>
      <c r="F39">
        <f t="shared" si="0"/>
        <v>7025</v>
      </c>
    </row>
    <row r="40" spans="1:6" x14ac:dyDescent="0.2">
      <c r="A40" s="14">
        <v>39</v>
      </c>
      <c r="B40" s="15" t="s">
        <v>60</v>
      </c>
      <c r="C40" s="15" t="s">
        <v>82</v>
      </c>
      <c r="D40" s="15">
        <v>36</v>
      </c>
      <c r="E40">
        <v>268</v>
      </c>
      <c r="F40">
        <f t="shared" si="0"/>
        <v>9648</v>
      </c>
    </row>
    <row r="41" spans="1:6" x14ac:dyDescent="0.2">
      <c r="A41" s="14">
        <v>40</v>
      </c>
      <c r="B41" s="15" t="s">
        <v>61</v>
      </c>
      <c r="C41" s="15" t="s">
        <v>83</v>
      </c>
      <c r="D41" s="15">
        <v>37</v>
      </c>
      <c r="E41">
        <v>300</v>
      </c>
      <c r="F41">
        <f t="shared" si="0"/>
        <v>11100</v>
      </c>
    </row>
    <row r="42" spans="1:6" x14ac:dyDescent="0.2">
      <c r="A42" s="14">
        <v>41</v>
      </c>
      <c r="B42" s="15" t="s">
        <v>62</v>
      </c>
      <c r="C42" s="15" t="s">
        <v>82</v>
      </c>
      <c r="D42" s="15">
        <v>26</v>
      </c>
      <c r="E42">
        <v>274</v>
      </c>
      <c r="F42">
        <f t="shared" si="0"/>
        <v>7124</v>
      </c>
    </row>
    <row r="43" spans="1:6" x14ac:dyDescent="0.2">
      <c r="A43" s="14">
        <v>42</v>
      </c>
      <c r="B43" s="15" t="s">
        <v>63</v>
      </c>
      <c r="C43" s="15" t="s">
        <v>83</v>
      </c>
      <c r="D43" s="15">
        <v>37</v>
      </c>
      <c r="E43">
        <v>293</v>
      </c>
      <c r="F43">
        <f t="shared" si="0"/>
        <v>10841</v>
      </c>
    </row>
    <row r="44" spans="1:6" x14ac:dyDescent="0.2">
      <c r="A44" s="14">
        <v>43</v>
      </c>
      <c r="B44" s="15" t="s">
        <v>64</v>
      </c>
      <c r="C44" s="15" t="s">
        <v>82</v>
      </c>
      <c r="D44" s="15">
        <v>24</v>
      </c>
      <c r="E44">
        <v>239</v>
      </c>
      <c r="F44">
        <f t="shared" si="0"/>
        <v>5736</v>
      </c>
    </row>
    <row r="45" spans="1:6" x14ac:dyDescent="0.2">
      <c r="A45" s="14">
        <v>44</v>
      </c>
      <c r="B45" s="15" t="s">
        <v>65</v>
      </c>
      <c r="C45" s="15" t="s">
        <v>83</v>
      </c>
      <c r="D45" s="15">
        <v>39</v>
      </c>
      <c r="E45">
        <v>296</v>
      </c>
      <c r="F45">
        <f t="shared" si="0"/>
        <v>11544</v>
      </c>
    </row>
    <row r="46" spans="1:6" x14ac:dyDescent="0.2">
      <c r="A46" s="14">
        <v>45</v>
      </c>
      <c r="B46" s="15" t="s">
        <v>66</v>
      </c>
      <c r="C46" s="15" t="s">
        <v>82</v>
      </c>
      <c r="D46" s="15">
        <v>26</v>
      </c>
      <c r="E46">
        <v>277</v>
      </c>
      <c r="F46">
        <f t="shared" si="0"/>
        <v>7202</v>
      </c>
    </row>
    <row r="47" spans="1:6" x14ac:dyDescent="0.2">
      <c r="A47" s="14">
        <v>46</v>
      </c>
      <c r="B47" s="15" t="s">
        <v>67</v>
      </c>
      <c r="C47" s="15" t="s">
        <v>83</v>
      </c>
      <c r="D47" s="15">
        <v>34</v>
      </c>
      <c r="E47">
        <v>252</v>
      </c>
      <c r="F47">
        <f t="shared" si="0"/>
        <v>8568</v>
      </c>
    </row>
    <row r="48" spans="1:6" x14ac:dyDescent="0.2">
      <c r="A48" s="14">
        <v>47</v>
      </c>
      <c r="B48" s="15" t="s">
        <v>68</v>
      </c>
      <c r="C48" s="15" t="s">
        <v>82</v>
      </c>
      <c r="D48" s="15">
        <v>28</v>
      </c>
      <c r="E48">
        <v>291</v>
      </c>
      <c r="F48">
        <f t="shared" si="0"/>
        <v>8148</v>
      </c>
    </row>
    <row r="49" spans="1:6" x14ac:dyDescent="0.2">
      <c r="A49" s="14">
        <v>48</v>
      </c>
      <c r="B49" s="15" t="s">
        <v>69</v>
      </c>
      <c r="C49" s="15" t="s">
        <v>83</v>
      </c>
      <c r="D49" s="15">
        <v>32</v>
      </c>
      <c r="E49">
        <v>207</v>
      </c>
      <c r="F49">
        <f t="shared" si="0"/>
        <v>6624</v>
      </c>
    </row>
    <row r="50" spans="1:6" x14ac:dyDescent="0.2">
      <c r="A50" s="14">
        <v>49</v>
      </c>
      <c r="B50" s="15" t="s">
        <v>70</v>
      </c>
      <c r="C50" s="15" t="s">
        <v>82</v>
      </c>
      <c r="D50" s="15">
        <v>39</v>
      </c>
      <c r="E50">
        <v>211</v>
      </c>
      <c r="F50">
        <f t="shared" si="0"/>
        <v>8229</v>
      </c>
    </row>
    <row r="51" spans="1:6" x14ac:dyDescent="0.2">
      <c r="A51" s="14">
        <v>50</v>
      </c>
      <c r="B51" s="15" t="s">
        <v>71</v>
      </c>
      <c r="C51" s="15" t="s">
        <v>83</v>
      </c>
      <c r="D51" s="15">
        <v>29</v>
      </c>
      <c r="E51">
        <v>235</v>
      </c>
      <c r="F51">
        <f t="shared" si="0"/>
        <v>6815</v>
      </c>
    </row>
    <row r="52" spans="1:6" x14ac:dyDescent="0.2">
      <c r="A52" s="14">
        <v>51</v>
      </c>
      <c r="B52" s="15" t="s">
        <v>72</v>
      </c>
      <c r="C52" s="15" t="s">
        <v>82</v>
      </c>
      <c r="D52" s="15">
        <v>32</v>
      </c>
      <c r="E52">
        <v>206</v>
      </c>
      <c r="F52">
        <f t="shared" si="0"/>
        <v>6592</v>
      </c>
    </row>
    <row r="53" spans="1:6" x14ac:dyDescent="0.2">
      <c r="A53" s="14">
        <v>52</v>
      </c>
      <c r="B53" s="15" t="s">
        <v>56</v>
      </c>
      <c r="C53" s="15" t="s">
        <v>83</v>
      </c>
      <c r="D53" s="15">
        <v>25</v>
      </c>
      <c r="E53">
        <v>284</v>
      </c>
      <c r="F53">
        <f t="shared" si="0"/>
        <v>7100</v>
      </c>
    </row>
    <row r="54" spans="1:6" x14ac:dyDescent="0.2">
      <c r="A54" s="14">
        <v>53</v>
      </c>
      <c r="B54" s="15" t="s">
        <v>57</v>
      </c>
      <c r="C54" s="15" t="s">
        <v>82</v>
      </c>
      <c r="D54" s="15">
        <v>36</v>
      </c>
      <c r="E54">
        <v>298</v>
      </c>
      <c r="F54">
        <f t="shared" si="0"/>
        <v>10728</v>
      </c>
    </row>
    <row r="55" spans="1:6" x14ac:dyDescent="0.2">
      <c r="A55" s="14">
        <v>54</v>
      </c>
      <c r="B55" s="15" t="s">
        <v>58</v>
      </c>
      <c r="C55" s="15" t="s">
        <v>83</v>
      </c>
      <c r="D55" s="15">
        <v>25</v>
      </c>
      <c r="E55">
        <v>243</v>
      </c>
      <c r="F55">
        <f t="shared" si="0"/>
        <v>6075</v>
      </c>
    </row>
    <row r="56" spans="1:6" x14ac:dyDescent="0.2">
      <c r="A56" s="14">
        <v>55</v>
      </c>
      <c r="B56" s="15" t="s">
        <v>59</v>
      </c>
      <c r="C56" s="15" t="s">
        <v>82</v>
      </c>
      <c r="D56" s="15">
        <v>58</v>
      </c>
      <c r="E56">
        <v>298</v>
      </c>
      <c r="F56">
        <f t="shared" si="0"/>
        <v>17284</v>
      </c>
    </row>
    <row r="57" spans="1:6" x14ac:dyDescent="0.2">
      <c r="A57" s="14">
        <v>56</v>
      </c>
      <c r="B57" s="15" t="s">
        <v>60</v>
      </c>
      <c r="C57" s="15" t="s">
        <v>83</v>
      </c>
      <c r="D57" s="15">
        <v>24</v>
      </c>
      <c r="E57">
        <v>273</v>
      </c>
      <c r="F57">
        <f t="shared" si="0"/>
        <v>6552</v>
      </c>
    </row>
    <row r="58" spans="1:6" x14ac:dyDescent="0.2">
      <c r="A58" s="14">
        <v>57</v>
      </c>
      <c r="B58" s="15" t="s">
        <v>61</v>
      </c>
      <c r="C58" s="15" t="s">
        <v>82</v>
      </c>
      <c r="D58" s="15">
        <v>56</v>
      </c>
      <c r="E58">
        <v>236</v>
      </c>
      <c r="F58">
        <f t="shared" si="0"/>
        <v>13216</v>
      </c>
    </row>
    <row r="59" spans="1:6" x14ac:dyDescent="0.2">
      <c r="A59" s="14">
        <v>58</v>
      </c>
      <c r="B59" s="15" t="s">
        <v>62</v>
      </c>
      <c r="C59" s="15" t="s">
        <v>83</v>
      </c>
      <c r="D59" s="15">
        <v>27</v>
      </c>
      <c r="E59">
        <v>272</v>
      </c>
      <c r="F59">
        <f t="shared" si="0"/>
        <v>7344</v>
      </c>
    </row>
    <row r="60" spans="1:6" x14ac:dyDescent="0.2">
      <c r="A60" s="14">
        <v>59</v>
      </c>
      <c r="B60" s="15" t="s">
        <v>63</v>
      </c>
      <c r="C60" s="15" t="s">
        <v>82</v>
      </c>
      <c r="D60" s="15">
        <v>40</v>
      </c>
      <c r="E60">
        <v>264</v>
      </c>
      <c r="F60">
        <f t="shared" si="0"/>
        <v>10560</v>
      </c>
    </row>
    <row r="61" spans="1:6" x14ac:dyDescent="0.2">
      <c r="A61" s="14">
        <v>60</v>
      </c>
      <c r="B61" s="15" t="s">
        <v>64</v>
      </c>
      <c r="C61" s="15" t="s">
        <v>83</v>
      </c>
      <c r="D61" s="15">
        <v>28</v>
      </c>
      <c r="E61">
        <v>285</v>
      </c>
      <c r="F61">
        <f t="shared" si="0"/>
        <v>7980</v>
      </c>
    </row>
    <row r="62" spans="1:6" x14ac:dyDescent="0.2">
      <c r="A62" s="14">
        <v>61</v>
      </c>
      <c r="B62" s="15" t="s">
        <v>65</v>
      </c>
      <c r="C62" s="15" t="s">
        <v>82</v>
      </c>
      <c r="D62" s="15">
        <v>39</v>
      </c>
      <c r="E62">
        <v>235</v>
      </c>
      <c r="F62">
        <f t="shared" si="0"/>
        <v>9165</v>
      </c>
    </row>
    <row r="63" spans="1:6" x14ac:dyDescent="0.2">
      <c r="A63" s="14">
        <v>62</v>
      </c>
      <c r="B63" s="15" t="s">
        <v>66</v>
      </c>
      <c r="C63" s="15" t="s">
        <v>83</v>
      </c>
      <c r="D63" s="15">
        <v>38</v>
      </c>
      <c r="E63">
        <v>265</v>
      </c>
      <c r="F63">
        <f t="shared" si="0"/>
        <v>10070</v>
      </c>
    </row>
    <row r="64" spans="1:6" x14ac:dyDescent="0.2">
      <c r="A64" s="14">
        <v>63</v>
      </c>
      <c r="B64" s="15" t="s">
        <v>67</v>
      </c>
      <c r="C64" s="15" t="s">
        <v>82</v>
      </c>
      <c r="D64" s="15">
        <v>32</v>
      </c>
      <c r="E64">
        <v>212</v>
      </c>
      <c r="F64">
        <f t="shared" si="0"/>
        <v>6784</v>
      </c>
    </row>
    <row r="65" spans="1:6" x14ac:dyDescent="0.2">
      <c r="A65" s="14">
        <v>64</v>
      </c>
      <c r="B65" s="15" t="s">
        <v>68</v>
      </c>
      <c r="C65" s="15" t="s">
        <v>83</v>
      </c>
      <c r="D65" s="15">
        <v>26</v>
      </c>
      <c r="E65">
        <v>265</v>
      </c>
      <c r="F65">
        <f t="shared" si="0"/>
        <v>6890</v>
      </c>
    </row>
    <row r="66" spans="1:6" x14ac:dyDescent="0.2">
      <c r="A66" s="14">
        <v>65</v>
      </c>
      <c r="B66" s="15" t="s">
        <v>69</v>
      </c>
      <c r="C66" s="15" t="s">
        <v>82</v>
      </c>
      <c r="D66" s="15">
        <v>31</v>
      </c>
      <c r="E66">
        <v>285</v>
      </c>
      <c r="F66">
        <f t="shared" si="0"/>
        <v>8835</v>
      </c>
    </row>
    <row r="67" spans="1:6" x14ac:dyDescent="0.2">
      <c r="A67" s="14">
        <v>66</v>
      </c>
      <c r="B67" s="15" t="s">
        <v>70</v>
      </c>
      <c r="C67" s="15" t="s">
        <v>83</v>
      </c>
      <c r="D67" s="15">
        <v>24</v>
      </c>
      <c r="E67">
        <v>266</v>
      </c>
      <c r="F67">
        <f t="shared" ref="F67:F101" si="1">D67*E67</f>
        <v>6384</v>
      </c>
    </row>
    <row r="68" spans="1:6" x14ac:dyDescent="0.2">
      <c r="A68" s="14">
        <v>67</v>
      </c>
      <c r="B68" s="15" t="s">
        <v>71</v>
      </c>
      <c r="C68" s="15" t="s">
        <v>82</v>
      </c>
      <c r="D68" s="15">
        <v>39</v>
      </c>
      <c r="E68">
        <v>266</v>
      </c>
      <c r="F68">
        <f t="shared" si="1"/>
        <v>10374</v>
      </c>
    </row>
    <row r="69" spans="1:6" x14ac:dyDescent="0.2">
      <c r="A69" s="14">
        <v>68</v>
      </c>
      <c r="B69" s="15" t="s">
        <v>72</v>
      </c>
      <c r="C69" s="15" t="s">
        <v>83</v>
      </c>
      <c r="D69" s="15">
        <v>28</v>
      </c>
      <c r="E69">
        <v>241</v>
      </c>
      <c r="F69">
        <f t="shared" si="1"/>
        <v>6748</v>
      </c>
    </row>
    <row r="70" spans="1:6" x14ac:dyDescent="0.2">
      <c r="A70" s="14">
        <v>69</v>
      </c>
      <c r="B70" s="15" t="s">
        <v>56</v>
      </c>
      <c r="C70" s="15" t="s">
        <v>82</v>
      </c>
      <c r="D70" s="15">
        <v>26</v>
      </c>
      <c r="E70">
        <v>287</v>
      </c>
      <c r="F70">
        <f t="shared" si="1"/>
        <v>7462</v>
      </c>
    </row>
    <row r="71" spans="1:6" x14ac:dyDescent="0.2">
      <c r="A71" s="14">
        <v>70</v>
      </c>
      <c r="B71" s="15" t="s">
        <v>57</v>
      </c>
      <c r="C71" s="15" t="s">
        <v>83</v>
      </c>
      <c r="D71" s="15">
        <v>46</v>
      </c>
      <c r="E71">
        <v>260</v>
      </c>
      <c r="F71">
        <f t="shared" si="1"/>
        <v>11960</v>
      </c>
    </row>
    <row r="72" spans="1:6" x14ac:dyDescent="0.2">
      <c r="A72" s="14">
        <v>71</v>
      </c>
      <c r="B72" s="15" t="s">
        <v>58</v>
      </c>
      <c r="C72" s="15" t="s">
        <v>82</v>
      </c>
      <c r="D72" s="15">
        <v>37</v>
      </c>
      <c r="E72">
        <v>261</v>
      </c>
      <c r="F72">
        <f t="shared" si="1"/>
        <v>9657</v>
      </c>
    </row>
    <row r="73" spans="1:6" x14ac:dyDescent="0.2">
      <c r="A73" s="14">
        <v>72</v>
      </c>
      <c r="B73" s="15" t="s">
        <v>59</v>
      </c>
      <c r="C73" s="15" t="s">
        <v>83</v>
      </c>
      <c r="D73" s="15">
        <v>52</v>
      </c>
      <c r="E73">
        <v>293</v>
      </c>
      <c r="F73">
        <f t="shared" si="1"/>
        <v>15236</v>
      </c>
    </row>
    <row r="74" spans="1:6" x14ac:dyDescent="0.2">
      <c r="A74" s="14">
        <v>73</v>
      </c>
      <c r="B74" s="15" t="s">
        <v>60</v>
      </c>
      <c r="C74" s="15" t="s">
        <v>82</v>
      </c>
      <c r="D74" s="15">
        <v>46</v>
      </c>
      <c r="E74">
        <v>213</v>
      </c>
      <c r="F74">
        <f t="shared" si="1"/>
        <v>9798</v>
      </c>
    </row>
    <row r="75" spans="1:6" x14ac:dyDescent="0.2">
      <c r="A75" s="14">
        <v>74</v>
      </c>
      <c r="B75" s="15" t="s">
        <v>61</v>
      </c>
      <c r="C75" s="15" t="s">
        <v>83</v>
      </c>
      <c r="D75" s="15">
        <v>42</v>
      </c>
      <c r="E75">
        <v>297</v>
      </c>
      <c r="F75">
        <f t="shared" si="1"/>
        <v>12474</v>
      </c>
    </row>
    <row r="76" spans="1:6" x14ac:dyDescent="0.2">
      <c r="A76" s="14">
        <v>75</v>
      </c>
      <c r="B76" s="15" t="s">
        <v>62</v>
      </c>
      <c r="C76" s="15" t="s">
        <v>82</v>
      </c>
      <c r="D76" s="15">
        <v>21</v>
      </c>
      <c r="E76">
        <v>213</v>
      </c>
      <c r="F76">
        <f t="shared" si="1"/>
        <v>4473</v>
      </c>
    </row>
    <row r="77" spans="1:6" x14ac:dyDescent="0.2">
      <c r="A77" s="14">
        <v>76</v>
      </c>
      <c r="B77" s="15" t="s">
        <v>63</v>
      </c>
      <c r="C77" s="15" t="s">
        <v>83</v>
      </c>
      <c r="D77" s="15">
        <v>28</v>
      </c>
      <c r="E77">
        <v>213</v>
      </c>
      <c r="F77">
        <f t="shared" si="1"/>
        <v>5964</v>
      </c>
    </row>
    <row r="78" spans="1:6" x14ac:dyDescent="0.2">
      <c r="A78" s="14">
        <v>77</v>
      </c>
      <c r="B78" s="15" t="s">
        <v>64</v>
      </c>
      <c r="C78" s="15" t="s">
        <v>82</v>
      </c>
      <c r="D78" s="15">
        <v>29</v>
      </c>
      <c r="E78">
        <v>280</v>
      </c>
      <c r="F78">
        <f t="shared" si="1"/>
        <v>8120</v>
      </c>
    </row>
    <row r="79" spans="1:6" x14ac:dyDescent="0.2">
      <c r="A79" s="14">
        <v>78</v>
      </c>
      <c r="B79" s="15" t="s">
        <v>65</v>
      </c>
      <c r="C79" s="15" t="s">
        <v>83</v>
      </c>
      <c r="D79" s="15">
        <v>23</v>
      </c>
      <c r="E79">
        <v>235</v>
      </c>
      <c r="F79">
        <f t="shared" si="1"/>
        <v>5405</v>
      </c>
    </row>
    <row r="80" spans="1:6" x14ac:dyDescent="0.2">
      <c r="A80" s="14">
        <v>79</v>
      </c>
      <c r="B80" s="15" t="s">
        <v>66</v>
      </c>
      <c r="C80" s="15" t="s">
        <v>82</v>
      </c>
      <c r="D80" s="15">
        <v>41</v>
      </c>
      <c r="E80">
        <v>265</v>
      </c>
      <c r="F80">
        <f t="shared" si="1"/>
        <v>10865</v>
      </c>
    </row>
    <row r="81" spans="1:6" x14ac:dyDescent="0.2">
      <c r="A81" s="14">
        <v>80</v>
      </c>
      <c r="B81" s="15" t="s">
        <v>67</v>
      </c>
      <c r="C81" s="15" t="s">
        <v>83</v>
      </c>
      <c r="D81" s="15">
        <v>28</v>
      </c>
      <c r="E81">
        <v>251</v>
      </c>
      <c r="F81">
        <f t="shared" si="1"/>
        <v>7028</v>
      </c>
    </row>
    <row r="82" spans="1:6" x14ac:dyDescent="0.2">
      <c r="A82" s="14">
        <v>81</v>
      </c>
      <c r="B82" s="15" t="s">
        <v>68</v>
      </c>
      <c r="C82" s="15" t="s">
        <v>82</v>
      </c>
      <c r="D82" s="15">
        <v>37</v>
      </c>
      <c r="E82">
        <v>283</v>
      </c>
      <c r="F82">
        <f t="shared" si="1"/>
        <v>10471</v>
      </c>
    </row>
    <row r="83" spans="1:6" x14ac:dyDescent="0.2">
      <c r="A83" s="14">
        <v>82</v>
      </c>
      <c r="B83" s="15" t="s">
        <v>69</v>
      </c>
      <c r="C83" s="15" t="s">
        <v>83</v>
      </c>
      <c r="D83" s="15">
        <v>34</v>
      </c>
      <c r="E83">
        <v>262</v>
      </c>
      <c r="F83">
        <f t="shared" si="1"/>
        <v>8908</v>
      </c>
    </row>
    <row r="84" spans="1:6" x14ac:dyDescent="0.2">
      <c r="A84" s="14">
        <v>83</v>
      </c>
      <c r="B84" s="15" t="s">
        <v>70</v>
      </c>
      <c r="C84" s="15" t="s">
        <v>82</v>
      </c>
      <c r="D84" s="15">
        <v>26</v>
      </c>
      <c r="E84">
        <v>267</v>
      </c>
      <c r="F84">
        <f t="shared" si="1"/>
        <v>6942</v>
      </c>
    </row>
    <row r="85" spans="1:6" x14ac:dyDescent="0.2">
      <c r="A85" s="14">
        <v>84</v>
      </c>
      <c r="B85" s="15" t="s">
        <v>71</v>
      </c>
      <c r="C85" s="15" t="s">
        <v>83</v>
      </c>
      <c r="D85" s="15">
        <v>35</v>
      </c>
      <c r="E85">
        <v>300</v>
      </c>
      <c r="F85">
        <f t="shared" si="1"/>
        <v>10500</v>
      </c>
    </row>
    <row r="86" spans="1:6" x14ac:dyDescent="0.2">
      <c r="A86" s="14">
        <v>85</v>
      </c>
      <c r="B86" s="15" t="s">
        <v>72</v>
      </c>
      <c r="C86" s="15" t="s">
        <v>82</v>
      </c>
      <c r="D86" s="15">
        <v>36</v>
      </c>
      <c r="E86">
        <v>269</v>
      </c>
      <c r="F86">
        <f t="shared" si="1"/>
        <v>9684</v>
      </c>
    </row>
    <row r="87" spans="1:6" x14ac:dyDescent="0.2">
      <c r="A87" s="14">
        <v>86</v>
      </c>
      <c r="B87" s="15" t="s">
        <v>56</v>
      </c>
      <c r="C87" s="15" t="s">
        <v>83</v>
      </c>
      <c r="D87" s="15">
        <v>29</v>
      </c>
      <c r="E87">
        <v>257</v>
      </c>
      <c r="F87">
        <f t="shared" si="1"/>
        <v>7453</v>
      </c>
    </row>
    <row r="88" spans="1:6" x14ac:dyDescent="0.2">
      <c r="A88" s="14">
        <v>87</v>
      </c>
      <c r="B88" s="15" t="s">
        <v>57</v>
      </c>
      <c r="C88" s="15" t="s">
        <v>82</v>
      </c>
      <c r="D88" s="15">
        <v>27</v>
      </c>
      <c r="E88">
        <v>294</v>
      </c>
      <c r="F88">
        <f t="shared" si="1"/>
        <v>7938</v>
      </c>
    </row>
    <row r="89" spans="1:6" x14ac:dyDescent="0.2">
      <c r="A89" s="14">
        <v>88</v>
      </c>
      <c r="B89" s="15" t="s">
        <v>58</v>
      </c>
      <c r="C89" s="15" t="s">
        <v>83</v>
      </c>
      <c r="D89" s="15">
        <v>25</v>
      </c>
      <c r="E89">
        <v>273</v>
      </c>
      <c r="F89">
        <f t="shared" si="1"/>
        <v>6825</v>
      </c>
    </row>
    <row r="90" spans="1:6" x14ac:dyDescent="0.2">
      <c r="A90" s="14">
        <v>89</v>
      </c>
      <c r="B90" s="15" t="s">
        <v>59</v>
      </c>
      <c r="C90" s="15" t="s">
        <v>82</v>
      </c>
      <c r="D90" s="15">
        <v>36</v>
      </c>
      <c r="E90">
        <v>272</v>
      </c>
      <c r="F90">
        <f t="shared" si="1"/>
        <v>9792</v>
      </c>
    </row>
    <row r="91" spans="1:6" x14ac:dyDescent="0.2">
      <c r="A91" s="14">
        <v>90</v>
      </c>
      <c r="B91" s="15" t="s">
        <v>60</v>
      </c>
      <c r="C91" s="15" t="s">
        <v>83</v>
      </c>
      <c r="D91" s="15">
        <v>37</v>
      </c>
      <c r="E91">
        <v>227</v>
      </c>
      <c r="F91">
        <f t="shared" si="1"/>
        <v>8399</v>
      </c>
    </row>
    <row r="92" spans="1:6" x14ac:dyDescent="0.2">
      <c r="A92" s="14">
        <v>91</v>
      </c>
      <c r="B92" s="15" t="s">
        <v>61</v>
      </c>
      <c r="C92" s="15" t="s">
        <v>82</v>
      </c>
      <c r="D92" s="15">
        <v>26</v>
      </c>
      <c r="E92">
        <v>239</v>
      </c>
      <c r="F92">
        <f t="shared" si="1"/>
        <v>6214</v>
      </c>
    </row>
    <row r="93" spans="1:6" x14ac:dyDescent="0.2">
      <c r="A93" s="14">
        <v>92</v>
      </c>
      <c r="B93" s="15" t="s">
        <v>62</v>
      </c>
      <c r="C93" s="15" t="s">
        <v>83</v>
      </c>
      <c r="D93" s="15">
        <v>37</v>
      </c>
      <c r="E93">
        <v>289</v>
      </c>
      <c r="F93">
        <f t="shared" si="1"/>
        <v>10693</v>
      </c>
    </row>
    <row r="94" spans="1:6" x14ac:dyDescent="0.2">
      <c r="A94" s="14">
        <v>93</v>
      </c>
      <c r="B94" s="15" t="s">
        <v>63</v>
      </c>
      <c r="C94" s="15" t="s">
        <v>82</v>
      </c>
      <c r="D94" s="15">
        <v>24</v>
      </c>
      <c r="E94">
        <v>205</v>
      </c>
      <c r="F94">
        <f t="shared" si="1"/>
        <v>4920</v>
      </c>
    </row>
    <row r="95" spans="1:6" x14ac:dyDescent="0.2">
      <c r="A95" s="14">
        <v>94</v>
      </c>
      <c r="B95" s="15" t="s">
        <v>64</v>
      </c>
      <c r="C95" s="15" t="s">
        <v>83</v>
      </c>
      <c r="D95" s="15">
        <v>39</v>
      </c>
      <c r="E95">
        <v>235</v>
      </c>
      <c r="F95">
        <f t="shared" si="1"/>
        <v>9165</v>
      </c>
    </row>
    <row r="96" spans="1:6" x14ac:dyDescent="0.2">
      <c r="A96" s="14">
        <v>95</v>
      </c>
      <c r="B96" s="15" t="s">
        <v>65</v>
      </c>
      <c r="C96" s="15" t="s">
        <v>82</v>
      </c>
      <c r="D96" s="15">
        <v>26</v>
      </c>
      <c r="E96">
        <v>216</v>
      </c>
      <c r="F96">
        <f t="shared" si="1"/>
        <v>5616</v>
      </c>
    </row>
    <row r="97" spans="1:6" x14ac:dyDescent="0.2">
      <c r="A97" s="14">
        <v>96</v>
      </c>
      <c r="B97" s="15" t="s">
        <v>66</v>
      </c>
      <c r="C97" s="15" t="s">
        <v>83</v>
      </c>
      <c r="D97" s="15">
        <v>34</v>
      </c>
      <c r="E97">
        <v>283</v>
      </c>
      <c r="F97">
        <f t="shared" si="1"/>
        <v>9622</v>
      </c>
    </row>
    <row r="98" spans="1:6" x14ac:dyDescent="0.2">
      <c r="A98" s="14">
        <v>97</v>
      </c>
      <c r="B98" s="15" t="s">
        <v>67</v>
      </c>
      <c r="C98" s="15" t="s">
        <v>82</v>
      </c>
      <c r="D98" s="15">
        <v>28</v>
      </c>
      <c r="E98">
        <v>257</v>
      </c>
      <c r="F98">
        <f t="shared" si="1"/>
        <v>7196</v>
      </c>
    </row>
    <row r="99" spans="1:6" x14ac:dyDescent="0.2">
      <c r="A99" s="14">
        <v>98</v>
      </c>
      <c r="B99" s="15" t="s">
        <v>68</v>
      </c>
      <c r="C99" s="15" t="s">
        <v>83</v>
      </c>
      <c r="D99" s="15">
        <v>32</v>
      </c>
      <c r="E99">
        <v>209</v>
      </c>
      <c r="F99">
        <f t="shared" si="1"/>
        <v>6688</v>
      </c>
    </row>
    <row r="100" spans="1:6" x14ac:dyDescent="0.2">
      <c r="A100" s="14">
        <v>99</v>
      </c>
      <c r="B100" s="15" t="s">
        <v>69</v>
      </c>
      <c r="C100" s="15" t="s">
        <v>82</v>
      </c>
      <c r="D100" s="15">
        <v>39</v>
      </c>
      <c r="E100">
        <v>209</v>
      </c>
      <c r="F100">
        <f t="shared" si="1"/>
        <v>8151</v>
      </c>
    </row>
    <row r="101" spans="1:6" x14ac:dyDescent="0.2">
      <c r="A101" s="14">
        <v>100</v>
      </c>
      <c r="B101" s="15" t="s">
        <v>70</v>
      </c>
      <c r="C101" s="15" t="s">
        <v>83</v>
      </c>
      <c r="D101" s="15">
        <v>29</v>
      </c>
      <c r="E101">
        <v>253</v>
      </c>
      <c r="F101">
        <f t="shared" si="1"/>
        <v>7337</v>
      </c>
    </row>
    <row r="102" spans="1:6" x14ac:dyDescent="0.2">
      <c r="A102" s="11"/>
    </row>
    <row r="103" spans="1:6" x14ac:dyDescent="0.2">
      <c r="A103" s="11"/>
    </row>
    <row r="104" spans="1:6" x14ac:dyDescent="0.2">
      <c r="A104" s="11"/>
    </row>
    <row r="105" spans="1:6" x14ac:dyDescent="0.2">
      <c r="A105" s="11"/>
    </row>
    <row r="106" spans="1:6" x14ac:dyDescent="0.2">
      <c r="A106" s="11"/>
    </row>
    <row r="107" spans="1:6" x14ac:dyDescent="0.2">
      <c r="A107" s="11"/>
    </row>
  </sheetData>
  <printOptions headings="1"/>
  <pageMargins left="0.7" right="0.22" top="0.56999999999999995" bottom="0.75" header="0.3" footer="0.3"/>
  <pageSetup paperSize="9" scale="61" fitToWidth="0" fitToHeight="0" orientation="portrait" verticalDpi="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107"/>
  <sheetViews>
    <sheetView zoomScale="160" zoomScaleNormal="160" workbookViewId="0">
      <selection activeCell="D13" sqref="D13"/>
    </sheetView>
  </sheetViews>
  <sheetFormatPr defaultRowHeight="14.25" x14ac:dyDescent="0.2"/>
  <cols>
    <col min="1" max="1" width="10.875" style="12" bestFit="1" customWidth="1"/>
    <col min="2" max="2" width="19.125" customWidth="1"/>
    <col min="3" max="3" width="12.25" customWidth="1"/>
    <col min="4" max="4" width="7.5" customWidth="1"/>
  </cols>
  <sheetData>
    <row r="1" spans="1:6" x14ac:dyDescent="0.2">
      <c r="A1" s="13" t="s">
        <v>55</v>
      </c>
      <c r="B1" s="13" t="s">
        <v>73</v>
      </c>
      <c r="C1" s="13" t="s">
        <v>81</v>
      </c>
      <c r="D1" s="13" t="s">
        <v>84</v>
      </c>
      <c r="E1" s="19" t="s">
        <v>85</v>
      </c>
      <c r="F1" s="19" t="s">
        <v>86</v>
      </c>
    </row>
    <row r="2" spans="1:6" x14ac:dyDescent="0.2">
      <c r="A2" s="14">
        <v>1</v>
      </c>
      <c r="B2" s="15" t="s">
        <v>56</v>
      </c>
      <c r="C2" s="15" t="s">
        <v>82</v>
      </c>
      <c r="D2" s="15">
        <v>32</v>
      </c>
      <c r="E2">
        <v>293</v>
      </c>
      <c r="F2">
        <f>D2*E2</f>
        <v>9376</v>
      </c>
    </row>
    <row r="3" spans="1:6" x14ac:dyDescent="0.2">
      <c r="A3" s="14">
        <v>2</v>
      </c>
      <c r="B3" s="15" t="s">
        <v>57</v>
      </c>
      <c r="C3" s="15" t="s">
        <v>83</v>
      </c>
      <c r="D3" s="15">
        <v>25</v>
      </c>
      <c r="E3">
        <v>294</v>
      </c>
      <c r="F3">
        <f t="shared" ref="F3:F66" si="0">D3*E3</f>
        <v>7350</v>
      </c>
    </row>
    <row r="4" spans="1:6" x14ac:dyDescent="0.2">
      <c r="A4" s="14">
        <v>3</v>
      </c>
      <c r="B4" s="15" t="s">
        <v>58</v>
      </c>
      <c r="C4" s="15" t="s">
        <v>82</v>
      </c>
      <c r="D4" s="15">
        <v>36</v>
      </c>
      <c r="E4">
        <v>215</v>
      </c>
      <c r="F4">
        <f t="shared" si="0"/>
        <v>7740</v>
      </c>
    </row>
    <row r="5" spans="1:6" x14ac:dyDescent="0.2">
      <c r="A5" s="14">
        <v>4</v>
      </c>
      <c r="B5" s="15" t="s">
        <v>59</v>
      </c>
      <c r="C5" s="15" t="s">
        <v>83</v>
      </c>
      <c r="D5" s="15">
        <v>25</v>
      </c>
      <c r="E5">
        <v>234</v>
      </c>
      <c r="F5">
        <f t="shared" si="0"/>
        <v>5850</v>
      </c>
    </row>
    <row r="6" spans="1:6" x14ac:dyDescent="0.2">
      <c r="A6" s="14">
        <v>5</v>
      </c>
      <c r="B6" s="15" t="s">
        <v>60</v>
      </c>
      <c r="C6" s="15" t="s">
        <v>82</v>
      </c>
      <c r="D6" s="15">
        <v>58</v>
      </c>
      <c r="E6">
        <v>211</v>
      </c>
      <c r="F6">
        <f t="shared" si="0"/>
        <v>12238</v>
      </c>
    </row>
    <row r="7" spans="1:6" x14ac:dyDescent="0.2">
      <c r="A7" s="14">
        <v>6</v>
      </c>
      <c r="B7" s="15" t="s">
        <v>61</v>
      </c>
      <c r="C7" s="15" t="s">
        <v>83</v>
      </c>
      <c r="D7" s="15">
        <v>24</v>
      </c>
      <c r="E7">
        <v>286</v>
      </c>
      <c r="F7">
        <f t="shared" si="0"/>
        <v>6864</v>
      </c>
    </row>
    <row r="8" spans="1:6" x14ac:dyDescent="0.2">
      <c r="A8" s="14">
        <v>7</v>
      </c>
      <c r="B8" s="15" t="s">
        <v>62</v>
      </c>
      <c r="C8" s="15" t="s">
        <v>82</v>
      </c>
      <c r="D8" s="15">
        <v>56</v>
      </c>
      <c r="E8">
        <v>236</v>
      </c>
      <c r="F8">
        <f t="shared" si="0"/>
        <v>13216</v>
      </c>
    </row>
    <row r="9" spans="1:6" x14ac:dyDescent="0.2">
      <c r="A9" s="14">
        <v>8</v>
      </c>
      <c r="B9" s="15" t="s">
        <v>63</v>
      </c>
      <c r="C9" s="15" t="s">
        <v>83</v>
      </c>
      <c r="D9" s="15">
        <v>27</v>
      </c>
      <c r="E9">
        <v>243</v>
      </c>
      <c r="F9">
        <f t="shared" si="0"/>
        <v>6561</v>
      </c>
    </row>
    <row r="10" spans="1:6" x14ac:dyDescent="0.2">
      <c r="A10" s="14">
        <v>9</v>
      </c>
      <c r="B10" s="15" t="s">
        <v>64</v>
      </c>
      <c r="C10" s="15" t="s">
        <v>82</v>
      </c>
      <c r="D10" s="15">
        <v>40</v>
      </c>
      <c r="E10">
        <v>219</v>
      </c>
      <c r="F10">
        <f t="shared" si="0"/>
        <v>8760</v>
      </c>
    </row>
    <row r="11" spans="1:6" x14ac:dyDescent="0.2">
      <c r="A11" s="14">
        <v>10</v>
      </c>
      <c r="B11" s="15" t="s">
        <v>65</v>
      </c>
      <c r="C11" s="15" t="s">
        <v>83</v>
      </c>
      <c r="D11" s="15">
        <v>28</v>
      </c>
      <c r="E11">
        <v>242</v>
      </c>
      <c r="F11">
        <f t="shared" si="0"/>
        <v>6776</v>
      </c>
    </row>
    <row r="12" spans="1:6" x14ac:dyDescent="0.2">
      <c r="A12" s="14">
        <v>11</v>
      </c>
      <c r="B12" s="15" t="s">
        <v>66</v>
      </c>
      <c r="C12" s="15" t="s">
        <v>82</v>
      </c>
      <c r="D12" s="15">
        <v>39</v>
      </c>
      <c r="E12">
        <v>251</v>
      </c>
      <c r="F12">
        <f t="shared" si="0"/>
        <v>9789</v>
      </c>
    </row>
    <row r="13" spans="1:6" x14ac:dyDescent="0.2">
      <c r="A13" s="14">
        <v>12</v>
      </c>
      <c r="B13" s="15" t="s">
        <v>67</v>
      </c>
      <c r="C13" s="15" t="s">
        <v>83</v>
      </c>
      <c r="D13" s="15">
        <v>38</v>
      </c>
      <c r="E13">
        <v>248</v>
      </c>
      <c r="F13">
        <f t="shared" si="0"/>
        <v>9424</v>
      </c>
    </row>
    <row r="14" spans="1:6" x14ac:dyDescent="0.2">
      <c r="A14" s="14">
        <v>13</v>
      </c>
      <c r="B14" s="15" t="s">
        <v>68</v>
      </c>
      <c r="C14" s="15" t="s">
        <v>82</v>
      </c>
      <c r="D14" s="15">
        <v>32</v>
      </c>
      <c r="E14">
        <v>230</v>
      </c>
      <c r="F14">
        <f t="shared" si="0"/>
        <v>7360</v>
      </c>
    </row>
    <row r="15" spans="1:6" x14ac:dyDescent="0.2">
      <c r="A15" s="14">
        <v>14</v>
      </c>
      <c r="B15" s="15" t="s">
        <v>69</v>
      </c>
      <c r="C15" s="15" t="s">
        <v>83</v>
      </c>
      <c r="D15" s="15">
        <v>26</v>
      </c>
      <c r="E15">
        <v>281</v>
      </c>
      <c r="F15">
        <f t="shared" si="0"/>
        <v>7306</v>
      </c>
    </row>
    <row r="16" spans="1:6" x14ac:dyDescent="0.2">
      <c r="A16" s="14">
        <v>15</v>
      </c>
      <c r="B16" s="15" t="s">
        <v>70</v>
      </c>
      <c r="C16" s="15" t="s">
        <v>82</v>
      </c>
      <c r="D16" s="15">
        <v>31</v>
      </c>
      <c r="E16">
        <v>261</v>
      </c>
      <c r="F16">
        <f t="shared" si="0"/>
        <v>8091</v>
      </c>
    </row>
    <row r="17" spans="1:6" x14ac:dyDescent="0.2">
      <c r="A17" s="14">
        <v>16</v>
      </c>
      <c r="B17" s="15" t="s">
        <v>71</v>
      </c>
      <c r="C17" s="15" t="s">
        <v>83</v>
      </c>
      <c r="D17" s="15">
        <v>24</v>
      </c>
      <c r="E17">
        <v>274</v>
      </c>
      <c r="F17">
        <f t="shared" si="0"/>
        <v>6576</v>
      </c>
    </row>
    <row r="18" spans="1:6" x14ac:dyDescent="0.2">
      <c r="A18" s="14">
        <v>17</v>
      </c>
      <c r="B18" s="15" t="s">
        <v>72</v>
      </c>
      <c r="C18" s="15" t="s">
        <v>82</v>
      </c>
      <c r="D18" s="15">
        <v>39</v>
      </c>
      <c r="E18">
        <v>283</v>
      </c>
      <c r="F18">
        <f t="shared" si="0"/>
        <v>11037</v>
      </c>
    </row>
    <row r="19" spans="1:6" x14ac:dyDescent="0.2">
      <c r="A19" s="14">
        <v>18</v>
      </c>
      <c r="B19" s="15" t="s">
        <v>56</v>
      </c>
      <c r="C19" s="15" t="s">
        <v>83</v>
      </c>
      <c r="D19" s="15">
        <v>28</v>
      </c>
      <c r="E19">
        <v>249</v>
      </c>
      <c r="F19">
        <f t="shared" si="0"/>
        <v>6972</v>
      </c>
    </row>
    <row r="20" spans="1:6" x14ac:dyDescent="0.2">
      <c r="A20" s="14">
        <v>19</v>
      </c>
      <c r="B20" s="15" t="s">
        <v>57</v>
      </c>
      <c r="C20" s="15" t="s">
        <v>82</v>
      </c>
      <c r="D20" s="15">
        <v>26</v>
      </c>
      <c r="E20">
        <v>226</v>
      </c>
      <c r="F20">
        <f t="shared" si="0"/>
        <v>5876</v>
      </c>
    </row>
    <row r="21" spans="1:6" x14ac:dyDescent="0.2">
      <c r="A21" s="14">
        <v>20</v>
      </c>
      <c r="B21" s="15" t="s">
        <v>58</v>
      </c>
      <c r="C21" s="15" t="s">
        <v>83</v>
      </c>
      <c r="D21" s="15">
        <v>46</v>
      </c>
      <c r="E21">
        <v>275</v>
      </c>
      <c r="F21">
        <f t="shared" si="0"/>
        <v>12650</v>
      </c>
    </row>
    <row r="22" spans="1:6" x14ac:dyDescent="0.2">
      <c r="A22" s="14">
        <v>21</v>
      </c>
      <c r="B22" s="15" t="s">
        <v>59</v>
      </c>
      <c r="C22" s="15" t="s">
        <v>82</v>
      </c>
      <c r="D22" s="15">
        <v>37</v>
      </c>
      <c r="E22">
        <v>286</v>
      </c>
      <c r="F22">
        <f t="shared" si="0"/>
        <v>10582</v>
      </c>
    </row>
    <row r="23" spans="1:6" x14ac:dyDescent="0.2">
      <c r="A23" s="14">
        <v>22</v>
      </c>
      <c r="B23" s="15" t="s">
        <v>60</v>
      </c>
      <c r="C23" s="15" t="s">
        <v>83</v>
      </c>
      <c r="D23" s="15">
        <v>52</v>
      </c>
      <c r="E23">
        <v>220</v>
      </c>
      <c r="F23">
        <f t="shared" si="0"/>
        <v>11440</v>
      </c>
    </row>
    <row r="24" spans="1:6" x14ac:dyDescent="0.2">
      <c r="A24" s="14">
        <v>23</v>
      </c>
      <c r="B24" s="15" t="s">
        <v>61</v>
      </c>
      <c r="C24" s="15" t="s">
        <v>82</v>
      </c>
      <c r="D24" s="15">
        <v>46</v>
      </c>
      <c r="E24">
        <v>247</v>
      </c>
      <c r="F24">
        <f t="shared" si="0"/>
        <v>11362</v>
      </c>
    </row>
    <row r="25" spans="1:6" x14ac:dyDescent="0.2">
      <c r="A25" s="14">
        <v>24</v>
      </c>
      <c r="B25" s="15" t="s">
        <v>62</v>
      </c>
      <c r="C25" s="15" t="s">
        <v>83</v>
      </c>
      <c r="D25" s="15">
        <v>42</v>
      </c>
      <c r="E25">
        <v>255</v>
      </c>
      <c r="F25">
        <f t="shared" si="0"/>
        <v>10710</v>
      </c>
    </row>
    <row r="26" spans="1:6" x14ac:dyDescent="0.2">
      <c r="A26" s="14">
        <v>25</v>
      </c>
      <c r="B26" s="15" t="s">
        <v>63</v>
      </c>
      <c r="C26" s="15" t="s">
        <v>82</v>
      </c>
      <c r="D26" s="15">
        <v>21</v>
      </c>
      <c r="E26">
        <v>284</v>
      </c>
      <c r="F26">
        <f t="shared" si="0"/>
        <v>5964</v>
      </c>
    </row>
    <row r="27" spans="1:6" x14ac:dyDescent="0.2">
      <c r="A27" s="14">
        <v>26</v>
      </c>
      <c r="B27" s="15" t="s">
        <v>64</v>
      </c>
      <c r="C27" s="15" t="s">
        <v>83</v>
      </c>
      <c r="D27" s="15">
        <v>28</v>
      </c>
      <c r="E27">
        <v>260</v>
      </c>
      <c r="F27">
        <f t="shared" si="0"/>
        <v>7280</v>
      </c>
    </row>
    <row r="28" spans="1:6" x14ac:dyDescent="0.2">
      <c r="A28" s="14">
        <v>27</v>
      </c>
      <c r="B28" s="15" t="s">
        <v>65</v>
      </c>
      <c r="C28" s="15" t="s">
        <v>82</v>
      </c>
      <c r="D28" s="15">
        <v>29</v>
      </c>
      <c r="E28">
        <v>211</v>
      </c>
      <c r="F28">
        <f t="shared" si="0"/>
        <v>6119</v>
      </c>
    </row>
    <row r="29" spans="1:6" x14ac:dyDescent="0.2">
      <c r="A29" s="14">
        <v>28</v>
      </c>
      <c r="B29" s="15" t="s">
        <v>66</v>
      </c>
      <c r="C29" s="15" t="s">
        <v>83</v>
      </c>
      <c r="D29" s="15">
        <v>23</v>
      </c>
      <c r="E29">
        <v>243</v>
      </c>
      <c r="F29">
        <f t="shared" si="0"/>
        <v>5589</v>
      </c>
    </row>
    <row r="30" spans="1:6" x14ac:dyDescent="0.2">
      <c r="A30" s="14">
        <v>29</v>
      </c>
      <c r="B30" s="15" t="s">
        <v>67</v>
      </c>
      <c r="C30" s="15" t="s">
        <v>82</v>
      </c>
      <c r="D30" s="15">
        <v>41</v>
      </c>
      <c r="E30">
        <v>285</v>
      </c>
      <c r="F30">
        <f t="shared" si="0"/>
        <v>11685</v>
      </c>
    </row>
    <row r="31" spans="1:6" x14ac:dyDescent="0.2">
      <c r="A31" s="14">
        <v>30</v>
      </c>
      <c r="B31" s="15" t="s">
        <v>68</v>
      </c>
      <c r="C31" s="15" t="s">
        <v>83</v>
      </c>
      <c r="D31" s="15">
        <v>28</v>
      </c>
      <c r="E31">
        <v>263</v>
      </c>
      <c r="F31">
        <f t="shared" si="0"/>
        <v>7364</v>
      </c>
    </row>
    <row r="32" spans="1:6" x14ac:dyDescent="0.2">
      <c r="A32" s="14">
        <v>31</v>
      </c>
      <c r="B32" s="15" t="s">
        <v>69</v>
      </c>
      <c r="C32" s="15" t="s">
        <v>82</v>
      </c>
      <c r="D32" s="15">
        <v>37</v>
      </c>
      <c r="E32">
        <v>223</v>
      </c>
      <c r="F32">
        <f t="shared" si="0"/>
        <v>8251</v>
      </c>
    </row>
    <row r="33" spans="1:6" x14ac:dyDescent="0.2">
      <c r="A33" s="14">
        <v>32</v>
      </c>
      <c r="B33" s="15" t="s">
        <v>70</v>
      </c>
      <c r="C33" s="15" t="s">
        <v>83</v>
      </c>
      <c r="D33" s="15">
        <v>34</v>
      </c>
      <c r="E33">
        <v>219</v>
      </c>
      <c r="F33">
        <f t="shared" si="0"/>
        <v>7446</v>
      </c>
    </row>
    <row r="34" spans="1:6" x14ac:dyDescent="0.2">
      <c r="A34" s="14">
        <v>33</v>
      </c>
      <c r="B34" s="15" t="s">
        <v>71</v>
      </c>
      <c r="C34" s="15" t="s">
        <v>82</v>
      </c>
      <c r="D34" s="15">
        <v>26</v>
      </c>
      <c r="E34">
        <v>249</v>
      </c>
      <c r="F34">
        <f t="shared" si="0"/>
        <v>6474</v>
      </c>
    </row>
    <row r="35" spans="1:6" x14ac:dyDescent="0.2">
      <c r="A35" s="14">
        <v>34</v>
      </c>
      <c r="B35" s="15" t="s">
        <v>72</v>
      </c>
      <c r="C35" s="15" t="s">
        <v>83</v>
      </c>
      <c r="D35" s="15">
        <v>35</v>
      </c>
      <c r="E35">
        <v>283</v>
      </c>
      <c r="F35">
        <f t="shared" si="0"/>
        <v>9905</v>
      </c>
    </row>
    <row r="36" spans="1:6" x14ac:dyDescent="0.2">
      <c r="A36" s="14">
        <v>35</v>
      </c>
      <c r="B36" s="15" t="s">
        <v>56</v>
      </c>
      <c r="C36" s="15" t="s">
        <v>82</v>
      </c>
      <c r="D36" s="15">
        <v>36</v>
      </c>
      <c r="E36">
        <v>200</v>
      </c>
      <c r="F36">
        <f t="shared" si="0"/>
        <v>7200</v>
      </c>
    </row>
    <row r="37" spans="1:6" x14ac:dyDescent="0.2">
      <c r="A37" s="14">
        <v>36</v>
      </c>
      <c r="B37" s="15" t="s">
        <v>57</v>
      </c>
      <c r="C37" s="15" t="s">
        <v>83</v>
      </c>
      <c r="D37" s="15">
        <v>29</v>
      </c>
      <c r="E37">
        <v>209</v>
      </c>
      <c r="F37">
        <f t="shared" si="0"/>
        <v>6061</v>
      </c>
    </row>
    <row r="38" spans="1:6" x14ac:dyDescent="0.2">
      <c r="A38" s="14">
        <v>37</v>
      </c>
      <c r="B38" s="15" t="s">
        <v>58</v>
      </c>
      <c r="C38" s="15" t="s">
        <v>82</v>
      </c>
      <c r="D38" s="15">
        <v>27</v>
      </c>
      <c r="E38">
        <v>279</v>
      </c>
      <c r="F38">
        <f t="shared" si="0"/>
        <v>7533</v>
      </c>
    </row>
    <row r="39" spans="1:6" x14ac:dyDescent="0.2">
      <c r="A39" s="14">
        <v>38</v>
      </c>
      <c r="B39" s="15" t="s">
        <v>59</v>
      </c>
      <c r="C39" s="15" t="s">
        <v>83</v>
      </c>
      <c r="D39" s="15">
        <v>25</v>
      </c>
      <c r="E39">
        <v>281</v>
      </c>
      <c r="F39">
        <f t="shared" si="0"/>
        <v>7025</v>
      </c>
    </row>
    <row r="40" spans="1:6" x14ac:dyDescent="0.2">
      <c r="A40" s="14">
        <v>39</v>
      </c>
      <c r="B40" s="15" t="s">
        <v>60</v>
      </c>
      <c r="C40" s="15" t="s">
        <v>82</v>
      </c>
      <c r="D40" s="15">
        <v>36</v>
      </c>
      <c r="E40">
        <v>268</v>
      </c>
      <c r="F40">
        <f t="shared" si="0"/>
        <v>9648</v>
      </c>
    </row>
    <row r="41" spans="1:6" x14ac:dyDescent="0.2">
      <c r="A41" s="14">
        <v>40</v>
      </c>
      <c r="B41" s="15" t="s">
        <v>61</v>
      </c>
      <c r="C41" s="15" t="s">
        <v>83</v>
      </c>
      <c r="D41" s="15">
        <v>37</v>
      </c>
      <c r="E41">
        <v>300</v>
      </c>
      <c r="F41">
        <f t="shared" si="0"/>
        <v>11100</v>
      </c>
    </row>
    <row r="42" spans="1:6" x14ac:dyDescent="0.2">
      <c r="A42" s="14">
        <v>41</v>
      </c>
      <c r="B42" s="15" t="s">
        <v>62</v>
      </c>
      <c r="C42" s="15" t="s">
        <v>82</v>
      </c>
      <c r="D42" s="15">
        <v>26</v>
      </c>
      <c r="E42">
        <v>274</v>
      </c>
      <c r="F42">
        <f t="shared" si="0"/>
        <v>7124</v>
      </c>
    </row>
    <row r="43" spans="1:6" x14ac:dyDescent="0.2">
      <c r="A43" s="14">
        <v>42</v>
      </c>
      <c r="B43" s="15" t="s">
        <v>63</v>
      </c>
      <c r="C43" s="15" t="s">
        <v>83</v>
      </c>
      <c r="D43" s="15">
        <v>37</v>
      </c>
      <c r="E43">
        <v>293</v>
      </c>
      <c r="F43">
        <f t="shared" si="0"/>
        <v>10841</v>
      </c>
    </row>
    <row r="44" spans="1:6" x14ac:dyDescent="0.2">
      <c r="A44" s="14">
        <v>43</v>
      </c>
      <c r="B44" s="15" t="s">
        <v>64</v>
      </c>
      <c r="C44" s="15" t="s">
        <v>82</v>
      </c>
      <c r="D44" s="15">
        <v>24</v>
      </c>
      <c r="E44">
        <v>239</v>
      </c>
      <c r="F44">
        <f t="shared" si="0"/>
        <v>5736</v>
      </c>
    </row>
    <row r="45" spans="1:6" x14ac:dyDescent="0.2">
      <c r="A45" s="14">
        <v>44</v>
      </c>
      <c r="B45" s="15" t="s">
        <v>65</v>
      </c>
      <c r="C45" s="15" t="s">
        <v>83</v>
      </c>
      <c r="D45" s="15">
        <v>39</v>
      </c>
      <c r="E45">
        <v>296</v>
      </c>
      <c r="F45">
        <f t="shared" si="0"/>
        <v>11544</v>
      </c>
    </row>
    <row r="46" spans="1:6" x14ac:dyDescent="0.2">
      <c r="A46" s="14">
        <v>45</v>
      </c>
      <c r="B46" s="15" t="s">
        <v>66</v>
      </c>
      <c r="C46" s="15" t="s">
        <v>82</v>
      </c>
      <c r="D46" s="15">
        <v>26</v>
      </c>
      <c r="E46">
        <v>277</v>
      </c>
      <c r="F46">
        <f t="shared" si="0"/>
        <v>7202</v>
      </c>
    </row>
    <row r="47" spans="1:6" x14ac:dyDescent="0.2">
      <c r="A47" s="14">
        <v>46</v>
      </c>
      <c r="B47" s="15" t="s">
        <v>67</v>
      </c>
      <c r="C47" s="15" t="s">
        <v>83</v>
      </c>
      <c r="D47" s="15">
        <v>34</v>
      </c>
      <c r="E47">
        <v>252</v>
      </c>
      <c r="F47">
        <f t="shared" si="0"/>
        <v>8568</v>
      </c>
    </row>
    <row r="48" spans="1:6" x14ac:dyDescent="0.2">
      <c r="A48" s="14">
        <v>47</v>
      </c>
      <c r="B48" s="15" t="s">
        <v>68</v>
      </c>
      <c r="C48" s="15" t="s">
        <v>82</v>
      </c>
      <c r="D48" s="15">
        <v>28</v>
      </c>
      <c r="E48">
        <v>291</v>
      </c>
      <c r="F48">
        <f t="shared" si="0"/>
        <v>8148</v>
      </c>
    </row>
    <row r="49" spans="1:6" x14ac:dyDescent="0.2">
      <c r="A49" s="14">
        <v>48</v>
      </c>
      <c r="B49" s="15" t="s">
        <v>69</v>
      </c>
      <c r="C49" s="15" t="s">
        <v>83</v>
      </c>
      <c r="D49" s="15">
        <v>32</v>
      </c>
      <c r="E49">
        <v>207</v>
      </c>
      <c r="F49">
        <f t="shared" si="0"/>
        <v>6624</v>
      </c>
    </row>
    <row r="50" spans="1:6" x14ac:dyDescent="0.2">
      <c r="A50" s="14">
        <v>49</v>
      </c>
      <c r="B50" s="15" t="s">
        <v>70</v>
      </c>
      <c r="C50" s="15" t="s">
        <v>82</v>
      </c>
      <c r="D50" s="15">
        <v>39</v>
      </c>
      <c r="E50">
        <v>211</v>
      </c>
      <c r="F50">
        <f t="shared" si="0"/>
        <v>8229</v>
      </c>
    </row>
    <row r="51" spans="1:6" x14ac:dyDescent="0.2">
      <c r="A51" s="14">
        <v>50</v>
      </c>
      <c r="B51" s="15" t="s">
        <v>71</v>
      </c>
      <c r="C51" s="15" t="s">
        <v>83</v>
      </c>
      <c r="D51" s="15">
        <v>29</v>
      </c>
      <c r="E51">
        <v>235</v>
      </c>
      <c r="F51">
        <f t="shared" si="0"/>
        <v>6815</v>
      </c>
    </row>
    <row r="52" spans="1:6" x14ac:dyDescent="0.2">
      <c r="A52" s="14">
        <v>51</v>
      </c>
      <c r="B52" s="15" t="s">
        <v>72</v>
      </c>
      <c r="C52" s="15" t="s">
        <v>82</v>
      </c>
      <c r="D52" s="15">
        <v>32</v>
      </c>
      <c r="E52">
        <v>206</v>
      </c>
      <c r="F52">
        <f t="shared" si="0"/>
        <v>6592</v>
      </c>
    </row>
    <row r="53" spans="1:6" x14ac:dyDescent="0.2">
      <c r="A53" s="14">
        <v>52</v>
      </c>
      <c r="B53" s="15" t="s">
        <v>56</v>
      </c>
      <c r="C53" s="15" t="s">
        <v>83</v>
      </c>
      <c r="D53" s="15">
        <v>25</v>
      </c>
      <c r="E53">
        <v>284</v>
      </c>
      <c r="F53">
        <f t="shared" si="0"/>
        <v>7100</v>
      </c>
    </row>
    <row r="54" spans="1:6" x14ac:dyDescent="0.2">
      <c r="A54" s="14">
        <v>53</v>
      </c>
      <c r="B54" s="15" t="s">
        <v>57</v>
      </c>
      <c r="C54" s="15" t="s">
        <v>82</v>
      </c>
      <c r="D54" s="15">
        <v>36</v>
      </c>
      <c r="E54">
        <v>298</v>
      </c>
      <c r="F54">
        <f t="shared" si="0"/>
        <v>10728</v>
      </c>
    </row>
    <row r="55" spans="1:6" x14ac:dyDescent="0.2">
      <c r="A55" s="14">
        <v>54</v>
      </c>
      <c r="B55" s="15" t="s">
        <v>58</v>
      </c>
      <c r="C55" s="15" t="s">
        <v>83</v>
      </c>
      <c r="D55" s="15">
        <v>25</v>
      </c>
      <c r="E55">
        <v>243</v>
      </c>
      <c r="F55">
        <f t="shared" si="0"/>
        <v>6075</v>
      </c>
    </row>
    <row r="56" spans="1:6" x14ac:dyDescent="0.2">
      <c r="A56" s="14">
        <v>55</v>
      </c>
      <c r="B56" s="15" t="s">
        <v>59</v>
      </c>
      <c r="C56" s="15" t="s">
        <v>82</v>
      </c>
      <c r="D56" s="15">
        <v>58</v>
      </c>
      <c r="E56">
        <v>298</v>
      </c>
      <c r="F56">
        <f t="shared" si="0"/>
        <v>17284</v>
      </c>
    </row>
    <row r="57" spans="1:6" x14ac:dyDescent="0.2">
      <c r="A57" s="14">
        <v>56</v>
      </c>
      <c r="B57" s="15" t="s">
        <v>60</v>
      </c>
      <c r="C57" s="15" t="s">
        <v>83</v>
      </c>
      <c r="D57" s="15">
        <v>24</v>
      </c>
      <c r="E57">
        <v>273</v>
      </c>
      <c r="F57">
        <f t="shared" si="0"/>
        <v>6552</v>
      </c>
    </row>
    <row r="58" spans="1:6" x14ac:dyDescent="0.2">
      <c r="A58" s="14">
        <v>57</v>
      </c>
      <c r="B58" s="15" t="s">
        <v>61</v>
      </c>
      <c r="C58" s="15" t="s">
        <v>82</v>
      </c>
      <c r="D58" s="15">
        <v>56</v>
      </c>
      <c r="E58">
        <v>236</v>
      </c>
      <c r="F58">
        <f t="shared" si="0"/>
        <v>13216</v>
      </c>
    </row>
    <row r="59" spans="1:6" x14ac:dyDescent="0.2">
      <c r="A59" s="14">
        <v>58</v>
      </c>
      <c r="B59" s="15" t="s">
        <v>62</v>
      </c>
      <c r="C59" s="15" t="s">
        <v>83</v>
      </c>
      <c r="D59" s="15">
        <v>27</v>
      </c>
      <c r="E59">
        <v>272</v>
      </c>
      <c r="F59">
        <f t="shared" si="0"/>
        <v>7344</v>
      </c>
    </row>
    <row r="60" spans="1:6" x14ac:dyDescent="0.2">
      <c r="A60" s="14">
        <v>59</v>
      </c>
      <c r="B60" s="15" t="s">
        <v>63</v>
      </c>
      <c r="C60" s="15" t="s">
        <v>82</v>
      </c>
      <c r="D60" s="15">
        <v>40</v>
      </c>
      <c r="E60">
        <v>264</v>
      </c>
      <c r="F60">
        <f t="shared" si="0"/>
        <v>10560</v>
      </c>
    </row>
    <row r="61" spans="1:6" x14ac:dyDescent="0.2">
      <c r="A61" s="14">
        <v>60</v>
      </c>
      <c r="B61" s="15" t="s">
        <v>64</v>
      </c>
      <c r="C61" s="15" t="s">
        <v>83</v>
      </c>
      <c r="D61" s="15">
        <v>28</v>
      </c>
      <c r="E61">
        <v>285</v>
      </c>
      <c r="F61">
        <f t="shared" si="0"/>
        <v>7980</v>
      </c>
    </row>
    <row r="62" spans="1:6" x14ac:dyDescent="0.2">
      <c r="A62" s="14">
        <v>61</v>
      </c>
      <c r="B62" s="15" t="s">
        <v>65</v>
      </c>
      <c r="C62" s="15" t="s">
        <v>82</v>
      </c>
      <c r="D62" s="15">
        <v>39</v>
      </c>
      <c r="E62">
        <v>235</v>
      </c>
      <c r="F62">
        <f t="shared" si="0"/>
        <v>9165</v>
      </c>
    </row>
    <row r="63" spans="1:6" x14ac:dyDescent="0.2">
      <c r="A63" s="14">
        <v>62</v>
      </c>
      <c r="B63" s="15" t="s">
        <v>66</v>
      </c>
      <c r="C63" s="15" t="s">
        <v>83</v>
      </c>
      <c r="D63" s="15">
        <v>38</v>
      </c>
      <c r="E63">
        <v>265</v>
      </c>
      <c r="F63">
        <f t="shared" si="0"/>
        <v>10070</v>
      </c>
    </row>
    <row r="64" spans="1:6" x14ac:dyDescent="0.2">
      <c r="A64" s="14">
        <v>63</v>
      </c>
      <c r="B64" s="15" t="s">
        <v>67</v>
      </c>
      <c r="C64" s="15" t="s">
        <v>82</v>
      </c>
      <c r="D64" s="15">
        <v>32</v>
      </c>
      <c r="E64">
        <v>212</v>
      </c>
      <c r="F64">
        <f t="shared" si="0"/>
        <v>6784</v>
      </c>
    </row>
    <row r="65" spans="1:6" x14ac:dyDescent="0.2">
      <c r="A65" s="14">
        <v>64</v>
      </c>
      <c r="B65" s="15" t="s">
        <v>68</v>
      </c>
      <c r="C65" s="15" t="s">
        <v>83</v>
      </c>
      <c r="D65" s="15">
        <v>26</v>
      </c>
      <c r="E65">
        <v>265</v>
      </c>
      <c r="F65">
        <f t="shared" si="0"/>
        <v>6890</v>
      </c>
    </row>
    <row r="66" spans="1:6" x14ac:dyDescent="0.2">
      <c r="A66" s="14">
        <v>65</v>
      </c>
      <c r="B66" s="15" t="s">
        <v>69</v>
      </c>
      <c r="C66" s="15" t="s">
        <v>82</v>
      </c>
      <c r="D66" s="15">
        <v>31</v>
      </c>
      <c r="E66">
        <v>285</v>
      </c>
      <c r="F66">
        <f t="shared" si="0"/>
        <v>8835</v>
      </c>
    </row>
    <row r="67" spans="1:6" x14ac:dyDescent="0.2">
      <c r="A67" s="14">
        <v>66</v>
      </c>
      <c r="B67" s="15" t="s">
        <v>70</v>
      </c>
      <c r="C67" s="15" t="s">
        <v>83</v>
      </c>
      <c r="D67" s="15">
        <v>24</v>
      </c>
      <c r="E67">
        <v>266</v>
      </c>
      <c r="F67">
        <f t="shared" ref="F67:F101" si="1">D67*E67</f>
        <v>6384</v>
      </c>
    </row>
    <row r="68" spans="1:6" x14ac:dyDescent="0.2">
      <c r="A68" s="14">
        <v>67</v>
      </c>
      <c r="B68" s="15" t="s">
        <v>71</v>
      </c>
      <c r="C68" s="15" t="s">
        <v>82</v>
      </c>
      <c r="D68" s="15">
        <v>39</v>
      </c>
      <c r="E68">
        <v>266</v>
      </c>
      <c r="F68">
        <f t="shared" si="1"/>
        <v>10374</v>
      </c>
    </row>
    <row r="69" spans="1:6" x14ac:dyDescent="0.2">
      <c r="A69" s="14">
        <v>68</v>
      </c>
      <c r="B69" s="15" t="s">
        <v>72</v>
      </c>
      <c r="C69" s="15" t="s">
        <v>83</v>
      </c>
      <c r="D69" s="15">
        <v>28</v>
      </c>
      <c r="E69">
        <v>241</v>
      </c>
      <c r="F69">
        <f t="shared" si="1"/>
        <v>6748</v>
      </c>
    </row>
    <row r="70" spans="1:6" x14ac:dyDescent="0.2">
      <c r="A70" s="14">
        <v>69</v>
      </c>
      <c r="B70" s="15" t="s">
        <v>56</v>
      </c>
      <c r="C70" s="15" t="s">
        <v>82</v>
      </c>
      <c r="D70" s="15">
        <v>26</v>
      </c>
      <c r="E70">
        <v>287</v>
      </c>
      <c r="F70">
        <f t="shared" si="1"/>
        <v>7462</v>
      </c>
    </row>
    <row r="71" spans="1:6" x14ac:dyDescent="0.2">
      <c r="A71" s="14">
        <v>70</v>
      </c>
      <c r="B71" s="15" t="s">
        <v>57</v>
      </c>
      <c r="C71" s="15" t="s">
        <v>83</v>
      </c>
      <c r="D71" s="15">
        <v>46</v>
      </c>
      <c r="E71">
        <v>260</v>
      </c>
      <c r="F71">
        <f t="shared" si="1"/>
        <v>11960</v>
      </c>
    </row>
    <row r="72" spans="1:6" x14ac:dyDescent="0.2">
      <c r="A72" s="14">
        <v>71</v>
      </c>
      <c r="B72" s="15" t="s">
        <v>58</v>
      </c>
      <c r="C72" s="15" t="s">
        <v>82</v>
      </c>
      <c r="D72" s="15">
        <v>37</v>
      </c>
      <c r="E72">
        <v>261</v>
      </c>
      <c r="F72">
        <f t="shared" si="1"/>
        <v>9657</v>
      </c>
    </row>
    <row r="73" spans="1:6" x14ac:dyDescent="0.2">
      <c r="A73" s="14">
        <v>72</v>
      </c>
      <c r="B73" s="15" t="s">
        <v>59</v>
      </c>
      <c r="C73" s="15" t="s">
        <v>83</v>
      </c>
      <c r="D73" s="15">
        <v>52</v>
      </c>
      <c r="E73">
        <v>293</v>
      </c>
      <c r="F73">
        <f t="shared" si="1"/>
        <v>15236</v>
      </c>
    </row>
    <row r="74" spans="1:6" x14ac:dyDescent="0.2">
      <c r="A74" s="14">
        <v>73</v>
      </c>
      <c r="B74" s="15" t="s">
        <v>60</v>
      </c>
      <c r="C74" s="15" t="s">
        <v>82</v>
      </c>
      <c r="D74" s="15">
        <v>46</v>
      </c>
      <c r="E74">
        <v>213</v>
      </c>
      <c r="F74">
        <f t="shared" si="1"/>
        <v>9798</v>
      </c>
    </row>
    <row r="75" spans="1:6" x14ac:dyDescent="0.2">
      <c r="A75" s="14">
        <v>74</v>
      </c>
      <c r="B75" s="15" t="s">
        <v>61</v>
      </c>
      <c r="C75" s="15" t="s">
        <v>83</v>
      </c>
      <c r="D75" s="15">
        <v>42</v>
      </c>
      <c r="E75">
        <v>297</v>
      </c>
      <c r="F75">
        <f t="shared" si="1"/>
        <v>12474</v>
      </c>
    </row>
    <row r="76" spans="1:6" x14ac:dyDescent="0.2">
      <c r="A76" s="14">
        <v>75</v>
      </c>
      <c r="B76" s="15" t="s">
        <v>62</v>
      </c>
      <c r="C76" s="15" t="s">
        <v>82</v>
      </c>
      <c r="D76" s="15">
        <v>21</v>
      </c>
      <c r="E76">
        <v>213</v>
      </c>
      <c r="F76">
        <f t="shared" si="1"/>
        <v>4473</v>
      </c>
    </row>
    <row r="77" spans="1:6" x14ac:dyDescent="0.2">
      <c r="A77" s="14">
        <v>76</v>
      </c>
      <c r="B77" s="15" t="s">
        <v>63</v>
      </c>
      <c r="C77" s="15" t="s">
        <v>83</v>
      </c>
      <c r="D77" s="15">
        <v>28</v>
      </c>
      <c r="E77">
        <v>213</v>
      </c>
      <c r="F77">
        <f t="shared" si="1"/>
        <v>5964</v>
      </c>
    </row>
    <row r="78" spans="1:6" x14ac:dyDescent="0.2">
      <c r="A78" s="14">
        <v>77</v>
      </c>
      <c r="B78" s="15" t="s">
        <v>64</v>
      </c>
      <c r="C78" s="15" t="s">
        <v>82</v>
      </c>
      <c r="D78" s="15">
        <v>29</v>
      </c>
      <c r="E78">
        <v>280</v>
      </c>
      <c r="F78">
        <f t="shared" si="1"/>
        <v>8120</v>
      </c>
    </row>
    <row r="79" spans="1:6" x14ac:dyDescent="0.2">
      <c r="A79" s="14">
        <v>78</v>
      </c>
      <c r="B79" s="15" t="s">
        <v>65</v>
      </c>
      <c r="C79" s="15" t="s">
        <v>83</v>
      </c>
      <c r="D79" s="15">
        <v>23</v>
      </c>
      <c r="E79">
        <v>235</v>
      </c>
      <c r="F79">
        <f t="shared" si="1"/>
        <v>5405</v>
      </c>
    </row>
    <row r="80" spans="1:6" x14ac:dyDescent="0.2">
      <c r="A80" s="14">
        <v>79</v>
      </c>
      <c r="B80" s="15" t="s">
        <v>66</v>
      </c>
      <c r="C80" s="15" t="s">
        <v>82</v>
      </c>
      <c r="D80" s="15">
        <v>41</v>
      </c>
      <c r="E80">
        <v>265</v>
      </c>
      <c r="F80">
        <f t="shared" si="1"/>
        <v>10865</v>
      </c>
    </row>
    <row r="81" spans="1:6" x14ac:dyDescent="0.2">
      <c r="A81" s="14">
        <v>80</v>
      </c>
      <c r="B81" s="15" t="s">
        <v>67</v>
      </c>
      <c r="C81" s="15" t="s">
        <v>83</v>
      </c>
      <c r="D81" s="15">
        <v>28</v>
      </c>
      <c r="E81">
        <v>251</v>
      </c>
      <c r="F81">
        <f t="shared" si="1"/>
        <v>7028</v>
      </c>
    </row>
    <row r="82" spans="1:6" x14ac:dyDescent="0.2">
      <c r="A82" s="14">
        <v>81</v>
      </c>
      <c r="B82" s="15" t="s">
        <v>68</v>
      </c>
      <c r="C82" s="15" t="s">
        <v>82</v>
      </c>
      <c r="D82" s="15">
        <v>37</v>
      </c>
      <c r="E82">
        <v>283</v>
      </c>
      <c r="F82">
        <f t="shared" si="1"/>
        <v>10471</v>
      </c>
    </row>
    <row r="83" spans="1:6" x14ac:dyDescent="0.2">
      <c r="A83" s="14">
        <v>82</v>
      </c>
      <c r="B83" s="15" t="s">
        <v>69</v>
      </c>
      <c r="C83" s="15" t="s">
        <v>83</v>
      </c>
      <c r="D83" s="15">
        <v>34</v>
      </c>
      <c r="E83">
        <v>262</v>
      </c>
      <c r="F83">
        <f t="shared" si="1"/>
        <v>8908</v>
      </c>
    </row>
    <row r="84" spans="1:6" x14ac:dyDescent="0.2">
      <c r="A84" s="14">
        <v>83</v>
      </c>
      <c r="B84" s="15" t="s">
        <v>70</v>
      </c>
      <c r="C84" s="15" t="s">
        <v>82</v>
      </c>
      <c r="D84" s="15">
        <v>26</v>
      </c>
      <c r="E84">
        <v>267</v>
      </c>
      <c r="F84">
        <f t="shared" si="1"/>
        <v>6942</v>
      </c>
    </row>
    <row r="85" spans="1:6" x14ac:dyDescent="0.2">
      <c r="A85" s="14">
        <v>84</v>
      </c>
      <c r="B85" s="15" t="s">
        <v>71</v>
      </c>
      <c r="C85" s="15" t="s">
        <v>83</v>
      </c>
      <c r="D85" s="15">
        <v>35</v>
      </c>
      <c r="E85">
        <v>300</v>
      </c>
      <c r="F85">
        <f t="shared" si="1"/>
        <v>10500</v>
      </c>
    </row>
    <row r="86" spans="1:6" x14ac:dyDescent="0.2">
      <c r="A86" s="14">
        <v>85</v>
      </c>
      <c r="B86" s="15" t="s">
        <v>72</v>
      </c>
      <c r="C86" s="15" t="s">
        <v>82</v>
      </c>
      <c r="D86" s="15">
        <v>36</v>
      </c>
      <c r="E86">
        <v>269</v>
      </c>
      <c r="F86">
        <f t="shared" si="1"/>
        <v>9684</v>
      </c>
    </row>
    <row r="87" spans="1:6" x14ac:dyDescent="0.2">
      <c r="A87" s="14">
        <v>86</v>
      </c>
      <c r="B87" s="15" t="s">
        <v>56</v>
      </c>
      <c r="C87" s="15" t="s">
        <v>83</v>
      </c>
      <c r="D87" s="15">
        <v>29</v>
      </c>
      <c r="E87">
        <v>257</v>
      </c>
      <c r="F87">
        <f t="shared" si="1"/>
        <v>7453</v>
      </c>
    </row>
    <row r="88" spans="1:6" x14ac:dyDescent="0.2">
      <c r="A88" s="14">
        <v>87</v>
      </c>
      <c r="B88" s="15" t="s">
        <v>57</v>
      </c>
      <c r="C88" s="15" t="s">
        <v>82</v>
      </c>
      <c r="D88" s="15">
        <v>27</v>
      </c>
      <c r="E88">
        <v>294</v>
      </c>
      <c r="F88">
        <f t="shared" si="1"/>
        <v>7938</v>
      </c>
    </row>
    <row r="89" spans="1:6" x14ac:dyDescent="0.2">
      <c r="A89" s="14">
        <v>88</v>
      </c>
      <c r="B89" s="15" t="s">
        <v>58</v>
      </c>
      <c r="C89" s="15" t="s">
        <v>83</v>
      </c>
      <c r="D89" s="15">
        <v>25</v>
      </c>
      <c r="E89">
        <v>273</v>
      </c>
      <c r="F89">
        <f t="shared" si="1"/>
        <v>6825</v>
      </c>
    </row>
    <row r="90" spans="1:6" x14ac:dyDescent="0.2">
      <c r="A90" s="14">
        <v>89</v>
      </c>
      <c r="B90" s="15" t="s">
        <v>59</v>
      </c>
      <c r="C90" s="15" t="s">
        <v>82</v>
      </c>
      <c r="D90" s="15">
        <v>36</v>
      </c>
      <c r="E90">
        <v>272</v>
      </c>
      <c r="F90">
        <f t="shared" si="1"/>
        <v>9792</v>
      </c>
    </row>
    <row r="91" spans="1:6" x14ac:dyDescent="0.2">
      <c r="A91" s="14">
        <v>90</v>
      </c>
      <c r="B91" s="15" t="s">
        <v>60</v>
      </c>
      <c r="C91" s="15" t="s">
        <v>83</v>
      </c>
      <c r="D91" s="15">
        <v>37</v>
      </c>
      <c r="E91">
        <v>227</v>
      </c>
      <c r="F91">
        <f t="shared" si="1"/>
        <v>8399</v>
      </c>
    </row>
    <row r="92" spans="1:6" x14ac:dyDescent="0.2">
      <c r="A92" s="14">
        <v>91</v>
      </c>
      <c r="B92" s="15" t="s">
        <v>61</v>
      </c>
      <c r="C92" s="15" t="s">
        <v>82</v>
      </c>
      <c r="D92" s="15">
        <v>26</v>
      </c>
      <c r="E92">
        <v>239</v>
      </c>
      <c r="F92">
        <f t="shared" si="1"/>
        <v>6214</v>
      </c>
    </row>
    <row r="93" spans="1:6" x14ac:dyDescent="0.2">
      <c r="A93" s="14">
        <v>92</v>
      </c>
      <c r="B93" s="15" t="s">
        <v>62</v>
      </c>
      <c r="C93" s="15" t="s">
        <v>83</v>
      </c>
      <c r="D93" s="15">
        <v>37</v>
      </c>
      <c r="E93">
        <v>289</v>
      </c>
      <c r="F93">
        <f t="shared" si="1"/>
        <v>10693</v>
      </c>
    </row>
    <row r="94" spans="1:6" x14ac:dyDescent="0.2">
      <c r="A94" s="14">
        <v>93</v>
      </c>
      <c r="B94" s="15" t="s">
        <v>63</v>
      </c>
      <c r="C94" s="15" t="s">
        <v>82</v>
      </c>
      <c r="D94" s="15">
        <v>24</v>
      </c>
      <c r="E94">
        <v>205</v>
      </c>
      <c r="F94">
        <f t="shared" si="1"/>
        <v>4920</v>
      </c>
    </row>
    <row r="95" spans="1:6" x14ac:dyDescent="0.2">
      <c r="A95" s="14">
        <v>94</v>
      </c>
      <c r="B95" s="15" t="s">
        <v>64</v>
      </c>
      <c r="C95" s="15" t="s">
        <v>83</v>
      </c>
      <c r="D95" s="15">
        <v>39</v>
      </c>
      <c r="E95">
        <v>235</v>
      </c>
      <c r="F95">
        <f t="shared" si="1"/>
        <v>9165</v>
      </c>
    </row>
    <row r="96" spans="1:6" x14ac:dyDescent="0.2">
      <c r="A96" s="14">
        <v>95</v>
      </c>
      <c r="B96" s="15" t="s">
        <v>65</v>
      </c>
      <c r="C96" s="15" t="s">
        <v>82</v>
      </c>
      <c r="D96" s="15">
        <v>26</v>
      </c>
      <c r="E96">
        <v>216</v>
      </c>
      <c r="F96">
        <f t="shared" si="1"/>
        <v>5616</v>
      </c>
    </row>
    <row r="97" spans="1:6" x14ac:dyDescent="0.2">
      <c r="A97" s="14">
        <v>96</v>
      </c>
      <c r="B97" s="15" t="s">
        <v>66</v>
      </c>
      <c r="C97" s="15" t="s">
        <v>83</v>
      </c>
      <c r="D97" s="15">
        <v>34</v>
      </c>
      <c r="E97">
        <v>283</v>
      </c>
      <c r="F97">
        <f t="shared" si="1"/>
        <v>9622</v>
      </c>
    </row>
    <row r="98" spans="1:6" x14ac:dyDescent="0.2">
      <c r="A98" s="14">
        <v>97</v>
      </c>
      <c r="B98" s="15" t="s">
        <v>67</v>
      </c>
      <c r="C98" s="15" t="s">
        <v>82</v>
      </c>
      <c r="D98" s="15">
        <v>28</v>
      </c>
      <c r="E98">
        <v>257</v>
      </c>
      <c r="F98">
        <f t="shared" si="1"/>
        <v>7196</v>
      </c>
    </row>
    <row r="99" spans="1:6" x14ac:dyDescent="0.2">
      <c r="A99" s="14">
        <v>98</v>
      </c>
      <c r="B99" s="15" t="s">
        <v>68</v>
      </c>
      <c r="C99" s="15" t="s">
        <v>83</v>
      </c>
      <c r="D99" s="15">
        <v>32</v>
      </c>
      <c r="E99">
        <v>209</v>
      </c>
      <c r="F99">
        <f t="shared" si="1"/>
        <v>6688</v>
      </c>
    </row>
    <row r="100" spans="1:6" x14ac:dyDescent="0.2">
      <c r="A100" s="14">
        <v>99</v>
      </c>
      <c r="B100" s="15" t="s">
        <v>69</v>
      </c>
      <c r="C100" s="15" t="s">
        <v>82</v>
      </c>
      <c r="D100" s="15">
        <v>39</v>
      </c>
      <c r="E100">
        <v>209</v>
      </c>
      <c r="F100">
        <f t="shared" si="1"/>
        <v>8151</v>
      </c>
    </row>
    <row r="101" spans="1:6" x14ac:dyDescent="0.2">
      <c r="A101" s="14">
        <v>100</v>
      </c>
      <c r="B101" s="15" t="s">
        <v>70</v>
      </c>
      <c r="C101" s="15" t="s">
        <v>83</v>
      </c>
      <c r="D101" s="15">
        <v>29</v>
      </c>
      <c r="E101">
        <v>253</v>
      </c>
      <c r="F101">
        <f t="shared" si="1"/>
        <v>7337</v>
      </c>
    </row>
    <row r="102" spans="1:6" x14ac:dyDescent="0.2">
      <c r="A102" s="24">
        <v>101</v>
      </c>
    </row>
    <row r="103" spans="1:6" x14ac:dyDescent="0.2">
      <c r="A103" s="11"/>
    </row>
    <row r="104" spans="1:6" x14ac:dyDescent="0.2">
      <c r="A104" s="11"/>
    </row>
    <row r="105" spans="1:6" x14ac:dyDescent="0.2">
      <c r="A105" s="11"/>
    </row>
    <row r="106" spans="1:6" x14ac:dyDescent="0.2">
      <c r="A106" s="11"/>
    </row>
    <row r="107" spans="1:6" x14ac:dyDescent="0.2">
      <c r="A107" s="11"/>
    </row>
  </sheetData>
  <printOptions headings="1"/>
  <pageMargins left="0.7" right="0.22" top="0.56999999999999995" bottom="0.75" header="0.3" footer="0.3"/>
  <pageSetup paperSize="9" scale="61" fitToWidth="0" fitToHeight="0"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19"/>
  <sheetViews>
    <sheetView zoomScale="160" zoomScaleNormal="160" workbookViewId="0">
      <selection activeCell="C13" sqref="C13"/>
    </sheetView>
  </sheetViews>
  <sheetFormatPr defaultRowHeight="14.25" x14ac:dyDescent="0.2"/>
  <cols>
    <col min="1" max="1" width="10.875" style="12" bestFit="1" customWidth="1"/>
    <col min="2" max="2" width="19.125" customWidth="1"/>
    <col min="3" max="3" width="12.25" customWidth="1"/>
    <col min="4" max="4" width="7.5" customWidth="1"/>
  </cols>
  <sheetData>
    <row r="1" spans="1:6" ht="15.75" x14ac:dyDescent="0.3">
      <c r="A1" s="27" t="s">
        <v>55</v>
      </c>
      <c r="B1" s="27" t="s">
        <v>73</v>
      </c>
      <c r="C1" s="27" t="s">
        <v>81</v>
      </c>
      <c r="D1" s="27" t="s">
        <v>84</v>
      </c>
      <c r="E1" s="28" t="s">
        <v>85</v>
      </c>
      <c r="F1" s="28" t="s">
        <v>86</v>
      </c>
    </row>
    <row r="2" spans="1:6" x14ac:dyDescent="0.2">
      <c r="A2" s="14">
        <v>1</v>
      </c>
      <c r="B2" s="15" t="s">
        <v>56</v>
      </c>
      <c r="C2" s="15" t="s">
        <v>82</v>
      </c>
      <c r="D2" s="15">
        <v>32</v>
      </c>
      <c r="E2">
        <v>293</v>
      </c>
      <c r="F2">
        <f>D2*E2</f>
        <v>9376</v>
      </c>
    </row>
    <row r="3" spans="1:6" x14ac:dyDescent="0.2">
      <c r="A3" s="14"/>
      <c r="B3" s="15" t="s">
        <v>282</v>
      </c>
      <c r="C3" s="15"/>
      <c r="D3" s="15"/>
    </row>
    <row r="4" spans="1:6" x14ac:dyDescent="0.2">
      <c r="A4" s="14"/>
      <c r="B4" s="15" t="s">
        <v>283</v>
      </c>
      <c r="C4" s="15"/>
      <c r="D4" s="15"/>
    </row>
    <row r="5" spans="1:6" x14ac:dyDescent="0.2">
      <c r="A5" s="14"/>
      <c r="B5" s="15" t="s">
        <v>75</v>
      </c>
      <c r="C5" s="15"/>
      <c r="D5" s="15"/>
    </row>
    <row r="6" spans="1:6" x14ac:dyDescent="0.2">
      <c r="A6" s="14">
        <v>2</v>
      </c>
      <c r="B6" s="15" t="s">
        <v>57</v>
      </c>
      <c r="C6" s="15" t="s">
        <v>83</v>
      </c>
      <c r="D6" s="15">
        <v>25</v>
      </c>
      <c r="E6">
        <v>294</v>
      </c>
      <c r="F6">
        <f t="shared" ref="F6:F78" si="0">D6*E6</f>
        <v>7350</v>
      </c>
    </row>
    <row r="7" spans="1:6" x14ac:dyDescent="0.2">
      <c r="A7" s="14"/>
      <c r="B7" s="15" t="s">
        <v>282</v>
      </c>
      <c r="C7" s="15"/>
      <c r="D7" s="15"/>
    </row>
    <row r="8" spans="1:6" x14ac:dyDescent="0.2">
      <c r="A8" s="14"/>
      <c r="B8" s="15" t="s">
        <v>283</v>
      </c>
      <c r="C8" s="15"/>
      <c r="D8" s="15"/>
    </row>
    <row r="9" spans="1:6" x14ac:dyDescent="0.2">
      <c r="A9" s="14"/>
      <c r="B9" s="15" t="s">
        <v>75</v>
      </c>
      <c r="C9" s="15"/>
      <c r="D9" s="15"/>
    </row>
    <row r="10" spans="1:6" x14ac:dyDescent="0.2">
      <c r="A10" s="14">
        <v>3</v>
      </c>
      <c r="B10" s="15" t="s">
        <v>58</v>
      </c>
      <c r="C10" s="15" t="s">
        <v>82</v>
      </c>
      <c r="D10" s="15">
        <v>36</v>
      </c>
      <c r="E10">
        <v>215</v>
      </c>
      <c r="F10">
        <f t="shared" si="0"/>
        <v>7740</v>
      </c>
    </row>
    <row r="11" spans="1:6" x14ac:dyDescent="0.2">
      <c r="A11" s="14"/>
      <c r="B11" s="15" t="s">
        <v>282</v>
      </c>
      <c r="C11" s="15"/>
      <c r="D11" s="15"/>
    </row>
    <row r="12" spans="1:6" x14ac:dyDescent="0.2">
      <c r="A12" s="14"/>
      <c r="B12" s="15" t="s">
        <v>283</v>
      </c>
      <c r="C12" s="15"/>
      <c r="D12" s="15"/>
    </row>
    <row r="13" spans="1:6" x14ac:dyDescent="0.2">
      <c r="A13" s="14"/>
      <c r="B13" s="15" t="s">
        <v>75</v>
      </c>
      <c r="C13" s="15"/>
      <c r="D13" s="15"/>
    </row>
    <row r="14" spans="1:6" x14ac:dyDescent="0.2">
      <c r="A14" s="14">
        <v>4</v>
      </c>
      <c r="B14" s="15" t="s">
        <v>59</v>
      </c>
      <c r="C14" s="15" t="s">
        <v>83</v>
      </c>
      <c r="D14" s="15">
        <v>25</v>
      </c>
      <c r="E14">
        <v>234</v>
      </c>
      <c r="F14">
        <f t="shared" si="0"/>
        <v>5850</v>
      </c>
    </row>
    <row r="15" spans="1:6" x14ac:dyDescent="0.2">
      <c r="A15" s="14"/>
      <c r="B15" s="15" t="s">
        <v>282</v>
      </c>
      <c r="C15" s="15"/>
      <c r="D15" s="15"/>
    </row>
    <row r="16" spans="1:6" x14ac:dyDescent="0.2">
      <c r="A16" s="14"/>
      <c r="B16" s="15" t="s">
        <v>283</v>
      </c>
      <c r="C16" s="15"/>
      <c r="D16" s="15"/>
    </row>
    <row r="17" spans="1:6" x14ac:dyDescent="0.2">
      <c r="A17" s="14"/>
      <c r="B17" s="15" t="s">
        <v>75</v>
      </c>
      <c r="C17" s="15"/>
      <c r="D17" s="15"/>
    </row>
    <row r="18" spans="1:6" x14ac:dyDescent="0.2">
      <c r="A18" s="14">
        <v>5</v>
      </c>
      <c r="B18" s="15" t="s">
        <v>60</v>
      </c>
      <c r="C18" s="15" t="s">
        <v>82</v>
      </c>
      <c r="D18" s="15">
        <v>58</v>
      </c>
      <c r="E18">
        <v>211</v>
      </c>
      <c r="F18">
        <f t="shared" si="0"/>
        <v>12238</v>
      </c>
    </row>
    <row r="19" spans="1:6" x14ac:dyDescent="0.2">
      <c r="A19" s="14">
        <v>6</v>
      </c>
      <c r="B19" s="15" t="s">
        <v>61</v>
      </c>
      <c r="C19" s="15" t="s">
        <v>83</v>
      </c>
      <c r="D19" s="15">
        <v>24</v>
      </c>
      <c r="E19">
        <v>286</v>
      </c>
      <c r="F19">
        <f t="shared" si="0"/>
        <v>6864</v>
      </c>
    </row>
    <row r="20" spans="1:6" x14ac:dyDescent="0.2">
      <c r="A20" s="14">
        <v>7</v>
      </c>
      <c r="B20" s="15" t="s">
        <v>62</v>
      </c>
      <c r="C20" s="15" t="s">
        <v>82</v>
      </c>
      <c r="D20" s="15">
        <v>56</v>
      </c>
      <c r="E20">
        <v>236</v>
      </c>
      <c r="F20">
        <f t="shared" si="0"/>
        <v>13216</v>
      </c>
    </row>
    <row r="21" spans="1:6" x14ac:dyDescent="0.2">
      <c r="A21" s="14">
        <v>8</v>
      </c>
      <c r="B21" s="15" t="s">
        <v>63</v>
      </c>
      <c r="C21" s="15" t="s">
        <v>83</v>
      </c>
      <c r="D21" s="15">
        <v>27</v>
      </c>
      <c r="E21">
        <v>243</v>
      </c>
      <c r="F21">
        <f t="shared" si="0"/>
        <v>6561</v>
      </c>
    </row>
    <row r="22" spans="1:6" x14ac:dyDescent="0.2">
      <c r="A22" s="14">
        <v>9</v>
      </c>
      <c r="B22" s="15" t="s">
        <v>64</v>
      </c>
      <c r="C22" s="15" t="s">
        <v>82</v>
      </c>
      <c r="D22" s="15">
        <v>40</v>
      </c>
      <c r="E22">
        <v>219</v>
      </c>
      <c r="F22">
        <f t="shared" si="0"/>
        <v>8760</v>
      </c>
    </row>
    <row r="23" spans="1:6" x14ac:dyDescent="0.2">
      <c r="A23" s="14">
        <v>10</v>
      </c>
      <c r="B23" s="15" t="s">
        <v>65</v>
      </c>
      <c r="C23" s="15" t="s">
        <v>83</v>
      </c>
      <c r="D23" s="15">
        <v>28</v>
      </c>
      <c r="E23">
        <v>242</v>
      </c>
      <c r="F23">
        <f t="shared" si="0"/>
        <v>6776</v>
      </c>
    </row>
    <row r="24" spans="1:6" x14ac:dyDescent="0.2">
      <c r="A24" s="14">
        <v>11</v>
      </c>
      <c r="B24" s="15" t="s">
        <v>66</v>
      </c>
      <c r="C24" s="15" t="s">
        <v>82</v>
      </c>
      <c r="D24" s="15">
        <v>39</v>
      </c>
      <c r="E24">
        <v>251</v>
      </c>
      <c r="F24">
        <f t="shared" si="0"/>
        <v>9789</v>
      </c>
    </row>
    <row r="25" spans="1:6" x14ac:dyDescent="0.2">
      <c r="A25" s="14">
        <v>12</v>
      </c>
      <c r="B25" s="15" t="s">
        <v>67</v>
      </c>
      <c r="C25" s="15" t="s">
        <v>83</v>
      </c>
      <c r="D25" s="15">
        <v>38</v>
      </c>
      <c r="E25">
        <v>248</v>
      </c>
      <c r="F25">
        <f t="shared" si="0"/>
        <v>9424</v>
      </c>
    </row>
    <row r="26" spans="1:6" x14ac:dyDescent="0.2">
      <c r="A26" s="14">
        <v>13</v>
      </c>
      <c r="B26" s="15" t="s">
        <v>68</v>
      </c>
      <c r="C26" s="15" t="s">
        <v>82</v>
      </c>
      <c r="D26" s="15">
        <v>32</v>
      </c>
      <c r="E26">
        <v>230</v>
      </c>
      <c r="F26">
        <f t="shared" si="0"/>
        <v>7360</v>
      </c>
    </row>
    <row r="27" spans="1:6" x14ac:dyDescent="0.2">
      <c r="A27" s="14">
        <v>14</v>
      </c>
      <c r="B27" s="15" t="s">
        <v>69</v>
      </c>
      <c r="C27" s="15" t="s">
        <v>83</v>
      </c>
      <c r="D27" s="15">
        <v>26</v>
      </c>
      <c r="E27">
        <v>281</v>
      </c>
      <c r="F27">
        <f t="shared" si="0"/>
        <v>7306</v>
      </c>
    </row>
    <row r="28" spans="1:6" x14ac:dyDescent="0.2">
      <c r="A28" s="14">
        <v>15</v>
      </c>
      <c r="B28" s="15" t="s">
        <v>70</v>
      </c>
      <c r="C28" s="15" t="s">
        <v>82</v>
      </c>
      <c r="D28" s="15">
        <v>31</v>
      </c>
      <c r="E28">
        <v>261</v>
      </c>
      <c r="F28">
        <f t="shared" si="0"/>
        <v>8091</v>
      </c>
    </row>
    <row r="29" spans="1:6" x14ac:dyDescent="0.2">
      <c r="A29" s="14">
        <v>16</v>
      </c>
      <c r="B29" s="15" t="s">
        <v>71</v>
      </c>
      <c r="C29" s="15" t="s">
        <v>83</v>
      </c>
      <c r="D29" s="15">
        <v>24</v>
      </c>
      <c r="E29">
        <v>274</v>
      </c>
      <c r="F29">
        <f t="shared" si="0"/>
        <v>6576</v>
      </c>
    </row>
    <row r="30" spans="1:6" x14ac:dyDescent="0.2">
      <c r="A30" s="14">
        <v>17</v>
      </c>
      <c r="B30" s="15" t="s">
        <v>72</v>
      </c>
      <c r="C30" s="15" t="s">
        <v>82</v>
      </c>
      <c r="D30" s="15">
        <v>39</v>
      </c>
      <c r="E30">
        <v>283</v>
      </c>
      <c r="F30">
        <f t="shared" si="0"/>
        <v>11037</v>
      </c>
    </row>
    <row r="31" spans="1:6" x14ac:dyDescent="0.2">
      <c r="A31" s="14">
        <v>18</v>
      </c>
      <c r="B31" s="15" t="s">
        <v>56</v>
      </c>
      <c r="C31" s="15" t="s">
        <v>83</v>
      </c>
      <c r="D31" s="15">
        <v>28</v>
      </c>
      <c r="E31">
        <v>249</v>
      </c>
      <c r="F31">
        <f t="shared" si="0"/>
        <v>6972</v>
      </c>
    </row>
    <row r="32" spans="1:6" x14ac:dyDescent="0.2">
      <c r="A32" s="14">
        <v>19</v>
      </c>
      <c r="B32" s="15" t="s">
        <v>57</v>
      </c>
      <c r="C32" s="15" t="s">
        <v>82</v>
      </c>
      <c r="D32" s="15">
        <v>26</v>
      </c>
      <c r="E32">
        <v>226</v>
      </c>
      <c r="F32">
        <f t="shared" si="0"/>
        <v>5876</v>
      </c>
    </row>
    <row r="33" spans="1:6" x14ac:dyDescent="0.2">
      <c r="A33" s="14">
        <v>20</v>
      </c>
      <c r="B33" s="15" t="s">
        <v>58</v>
      </c>
      <c r="C33" s="15" t="s">
        <v>83</v>
      </c>
      <c r="D33" s="15">
        <v>46</v>
      </c>
      <c r="E33">
        <v>275</v>
      </c>
      <c r="F33">
        <f t="shared" si="0"/>
        <v>12650</v>
      </c>
    </row>
    <row r="34" spans="1:6" x14ac:dyDescent="0.2">
      <c r="A34" s="14">
        <v>21</v>
      </c>
      <c r="B34" s="15" t="s">
        <v>59</v>
      </c>
      <c r="C34" s="15" t="s">
        <v>82</v>
      </c>
      <c r="D34" s="15">
        <v>37</v>
      </c>
      <c r="E34">
        <v>286</v>
      </c>
      <c r="F34">
        <f t="shared" si="0"/>
        <v>10582</v>
      </c>
    </row>
    <row r="35" spans="1:6" x14ac:dyDescent="0.2">
      <c r="A35" s="14">
        <v>22</v>
      </c>
      <c r="B35" s="15" t="s">
        <v>60</v>
      </c>
      <c r="C35" s="15" t="s">
        <v>83</v>
      </c>
      <c r="D35" s="15">
        <v>52</v>
      </c>
      <c r="E35">
        <v>220</v>
      </c>
      <c r="F35">
        <f t="shared" si="0"/>
        <v>11440</v>
      </c>
    </row>
    <row r="36" spans="1:6" x14ac:dyDescent="0.2">
      <c r="A36" s="14">
        <v>23</v>
      </c>
      <c r="B36" s="15" t="s">
        <v>61</v>
      </c>
      <c r="C36" s="15" t="s">
        <v>82</v>
      </c>
      <c r="D36" s="15">
        <v>46</v>
      </c>
      <c r="E36">
        <v>247</v>
      </c>
      <c r="F36">
        <f t="shared" si="0"/>
        <v>11362</v>
      </c>
    </row>
    <row r="37" spans="1:6" x14ac:dyDescent="0.2">
      <c r="A37" s="14">
        <v>24</v>
      </c>
      <c r="B37" s="15" t="s">
        <v>62</v>
      </c>
      <c r="C37" s="15" t="s">
        <v>83</v>
      </c>
      <c r="D37" s="15">
        <v>42</v>
      </c>
      <c r="E37">
        <v>255</v>
      </c>
      <c r="F37">
        <f t="shared" si="0"/>
        <v>10710</v>
      </c>
    </row>
    <row r="38" spans="1:6" x14ac:dyDescent="0.2">
      <c r="A38" s="14">
        <v>25</v>
      </c>
      <c r="B38" s="15" t="s">
        <v>63</v>
      </c>
      <c r="C38" s="15" t="s">
        <v>82</v>
      </c>
      <c r="D38" s="15">
        <v>21</v>
      </c>
      <c r="E38">
        <v>284</v>
      </c>
      <c r="F38">
        <f t="shared" si="0"/>
        <v>5964</v>
      </c>
    </row>
    <row r="39" spans="1:6" x14ac:dyDescent="0.2">
      <c r="A39" s="14">
        <v>26</v>
      </c>
      <c r="B39" s="15" t="s">
        <v>64</v>
      </c>
      <c r="C39" s="15" t="s">
        <v>83</v>
      </c>
      <c r="D39" s="15">
        <v>28</v>
      </c>
      <c r="E39">
        <v>260</v>
      </c>
      <c r="F39">
        <f t="shared" si="0"/>
        <v>7280</v>
      </c>
    </row>
    <row r="40" spans="1:6" x14ac:dyDescent="0.2">
      <c r="A40" s="14">
        <v>27</v>
      </c>
      <c r="B40" s="15" t="s">
        <v>65</v>
      </c>
      <c r="C40" s="15" t="s">
        <v>82</v>
      </c>
      <c r="D40" s="15">
        <v>29</v>
      </c>
      <c r="E40">
        <v>211</v>
      </c>
      <c r="F40">
        <f t="shared" si="0"/>
        <v>6119</v>
      </c>
    </row>
    <row r="41" spans="1:6" x14ac:dyDescent="0.2">
      <c r="A41" s="14">
        <v>28</v>
      </c>
      <c r="B41" s="15" t="s">
        <v>66</v>
      </c>
      <c r="C41" s="15" t="s">
        <v>83</v>
      </c>
      <c r="D41" s="15">
        <v>23</v>
      </c>
      <c r="E41">
        <v>243</v>
      </c>
      <c r="F41">
        <f t="shared" si="0"/>
        <v>5589</v>
      </c>
    </row>
    <row r="42" spans="1:6" x14ac:dyDescent="0.2">
      <c r="A42" s="14">
        <v>29</v>
      </c>
      <c r="B42" s="15" t="s">
        <v>67</v>
      </c>
      <c r="C42" s="15" t="s">
        <v>82</v>
      </c>
      <c r="D42" s="15">
        <v>41</v>
      </c>
      <c r="E42">
        <v>285</v>
      </c>
      <c r="F42">
        <f t="shared" si="0"/>
        <v>11685</v>
      </c>
    </row>
    <row r="43" spans="1:6" x14ac:dyDescent="0.2">
      <c r="A43" s="14">
        <v>30</v>
      </c>
      <c r="B43" s="15" t="s">
        <v>68</v>
      </c>
      <c r="C43" s="15" t="s">
        <v>83</v>
      </c>
      <c r="D43" s="15">
        <v>28</v>
      </c>
      <c r="E43">
        <v>263</v>
      </c>
      <c r="F43">
        <f t="shared" si="0"/>
        <v>7364</v>
      </c>
    </row>
    <row r="44" spans="1:6" x14ac:dyDescent="0.2">
      <c r="A44" s="14">
        <v>31</v>
      </c>
      <c r="B44" s="15" t="s">
        <v>69</v>
      </c>
      <c r="C44" s="15" t="s">
        <v>82</v>
      </c>
      <c r="D44" s="15">
        <v>37</v>
      </c>
      <c r="E44">
        <v>223</v>
      </c>
      <c r="F44">
        <f t="shared" si="0"/>
        <v>8251</v>
      </c>
    </row>
    <row r="45" spans="1:6" x14ac:dyDescent="0.2">
      <c r="A45" s="14">
        <v>32</v>
      </c>
      <c r="B45" s="15" t="s">
        <v>70</v>
      </c>
      <c r="C45" s="15" t="s">
        <v>83</v>
      </c>
      <c r="D45" s="15">
        <v>34</v>
      </c>
      <c r="E45">
        <v>219</v>
      </c>
      <c r="F45">
        <f t="shared" si="0"/>
        <v>7446</v>
      </c>
    </row>
    <row r="46" spans="1:6" x14ac:dyDescent="0.2">
      <c r="A46" s="14">
        <v>33</v>
      </c>
      <c r="B46" s="15" t="s">
        <v>71</v>
      </c>
      <c r="C46" s="15" t="s">
        <v>82</v>
      </c>
      <c r="D46" s="15">
        <v>26</v>
      </c>
      <c r="E46">
        <v>249</v>
      </c>
      <c r="F46">
        <f t="shared" si="0"/>
        <v>6474</v>
      </c>
    </row>
    <row r="47" spans="1:6" x14ac:dyDescent="0.2">
      <c r="A47" s="14">
        <v>34</v>
      </c>
      <c r="B47" s="15" t="s">
        <v>72</v>
      </c>
      <c r="C47" s="15" t="s">
        <v>83</v>
      </c>
      <c r="D47" s="15">
        <v>35</v>
      </c>
      <c r="E47">
        <v>283</v>
      </c>
      <c r="F47">
        <f t="shared" si="0"/>
        <v>9905</v>
      </c>
    </row>
    <row r="48" spans="1:6" x14ac:dyDescent="0.2">
      <c r="A48" s="14">
        <v>35</v>
      </c>
      <c r="B48" s="15" t="s">
        <v>56</v>
      </c>
      <c r="C48" s="15" t="s">
        <v>82</v>
      </c>
      <c r="D48" s="15">
        <v>36</v>
      </c>
      <c r="E48">
        <v>200</v>
      </c>
      <c r="F48">
        <f t="shared" si="0"/>
        <v>7200</v>
      </c>
    </row>
    <row r="49" spans="1:6" x14ac:dyDescent="0.2">
      <c r="A49" s="14">
        <v>36</v>
      </c>
      <c r="B49" s="15" t="s">
        <v>57</v>
      </c>
      <c r="C49" s="15" t="s">
        <v>83</v>
      </c>
      <c r="D49" s="15">
        <v>29</v>
      </c>
      <c r="E49">
        <v>209</v>
      </c>
      <c r="F49">
        <f t="shared" si="0"/>
        <v>6061</v>
      </c>
    </row>
    <row r="50" spans="1:6" x14ac:dyDescent="0.2">
      <c r="A50" s="14">
        <v>37</v>
      </c>
      <c r="B50" s="15" t="s">
        <v>58</v>
      </c>
      <c r="C50" s="15" t="s">
        <v>82</v>
      </c>
      <c r="D50" s="15">
        <v>27</v>
      </c>
      <c r="E50">
        <v>279</v>
      </c>
      <c r="F50">
        <f t="shared" si="0"/>
        <v>7533</v>
      </c>
    </row>
    <row r="51" spans="1:6" x14ac:dyDescent="0.2">
      <c r="A51" s="14">
        <v>38</v>
      </c>
      <c r="B51" s="15" t="s">
        <v>59</v>
      </c>
      <c r="C51" s="15" t="s">
        <v>83</v>
      </c>
      <c r="D51" s="15">
        <v>25</v>
      </c>
      <c r="E51">
        <v>281</v>
      </c>
      <c r="F51">
        <f t="shared" si="0"/>
        <v>7025</v>
      </c>
    </row>
    <row r="52" spans="1:6" x14ac:dyDescent="0.2">
      <c r="A52" s="14">
        <v>39</v>
      </c>
      <c r="B52" s="15" t="s">
        <v>60</v>
      </c>
      <c r="C52" s="15" t="s">
        <v>82</v>
      </c>
      <c r="D52" s="15">
        <v>36</v>
      </c>
      <c r="E52">
        <v>268</v>
      </c>
      <c r="F52">
        <f t="shared" si="0"/>
        <v>9648</v>
      </c>
    </row>
    <row r="53" spans="1:6" x14ac:dyDescent="0.2">
      <c r="A53" s="14">
        <v>40</v>
      </c>
      <c r="B53" s="15" t="s">
        <v>61</v>
      </c>
      <c r="C53" s="15" t="s">
        <v>83</v>
      </c>
      <c r="D53" s="15">
        <v>37</v>
      </c>
      <c r="E53">
        <v>300</v>
      </c>
      <c r="F53">
        <f t="shared" si="0"/>
        <v>11100</v>
      </c>
    </row>
    <row r="54" spans="1:6" x14ac:dyDescent="0.2">
      <c r="A54" s="14">
        <v>41</v>
      </c>
      <c r="B54" s="15" t="s">
        <v>62</v>
      </c>
      <c r="C54" s="15" t="s">
        <v>82</v>
      </c>
      <c r="D54" s="15">
        <v>26</v>
      </c>
      <c r="E54">
        <v>274</v>
      </c>
      <c r="F54">
        <f t="shared" si="0"/>
        <v>7124</v>
      </c>
    </row>
    <row r="55" spans="1:6" x14ac:dyDescent="0.2">
      <c r="A55" s="14">
        <v>42</v>
      </c>
      <c r="B55" s="15" t="s">
        <v>63</v>
      </c>
      <c r="C55" s="15" t="s">
        <v>83</v>
      </c>
      <c r="D55" s="15">
        <v>37</v>
      </c>
      <c r="E55">
        <v>293</v>
      </c>
      <c r="F55">
        <f t="shared" si="0"/>
        <v>10841</v>
      </c>
    </row>
    <row r="56" spans="1:6" x14ac:dyDescent="0.2">
      <c r="A56" s="14">
        <v>43</v>
      </c>
      <c r="B56" s="15" t="s">
        <v>64</v>
      </c>
      <c r="C56" s="15" t="s">
        <v>82</v>
      </c>
      <c r="D56" s="15">
        <v>24</v>
      </c>
      <c r="E56">
        <v>239</v>
      </c>
      <c r="F56">
        <f t="shared" si="0"/>
        <v>5736</v>
      </c>
    </row>
    <row r="57" spans="1:6" x14ac:dyDescent="0.2">
      <c r="A57" s="14">
        <v>44</v>
      </c>
      <c r="B57" s="15" t="s">
        <v>65</v>
      </c>
      <c r="C57" s="15" t="s">
        <v>83</v>
      </c>
      <c r="D57" s="15">
        <v>39</v>
      </c>
      <c r="E57">
        <v>296</v>
      </c>
      <c r="F57">
        <f t="shared" si="0"/>
        <v>11544</v>
      </c>
    </row>
    <row r="58" spans="1:6" x14ac:dyDescent="0.2">
      <c r="A58" s="14">
        <v>45</v>
      </c>
      <c r="B58" s="15" t="s">
        <v>66</v>
      </c>
      <c r="C58" s="15" t="s">
        <v>82</v>
      </c>
      <c r="D58" s="15">
        <v>26</v>
      </c>
      <c r="E58">
        <v>277</v>
      </c>
      <c r="F58">
        <f t="shared" si="0"/>
        <v>7202</v>
      </c>
    </row>
    <row r="59" spans="1:6" x14ac:dyDescent="0.2">
      <c r="A59" s="14">
        <v>46</v>
      </c>
      <c r="B59" s="15" t="s">
        <v>67</v>
      </c>
      <c r="C59" s="15" t="s">
        <v>83</v>
      </c>
      <c r="D59" s="15">
        <v>34</v>
      </c>
      <c r="E59">
        <v>252</v>
      </c>
      <c r="F59">
        <f t="shared" si="0"/>
        <v>8568</v>
      </c>
    </row>
    <row r="60" spans="1:6" x14ac:dyDescent="0.2">
      <c r="A60" s="14">
        <v>47</v>
      </c>
      <c r="B60" s="15" t="s">
        <v>68</v>
      </c>
      <c r="C60" s="15" t="s">
        <v>82</v>
      </c>
      <c r="D60" s="15">
        <v>28</v>
      </c>
      <c r="E60">
        <v>291</v>
      </c>
      <c r="F60">
        <f t="shared" si="0"/>
        <v>8148</v>
      </c>
    </row>
    <row r="61" spans="1:6" x14ac:dyDescent="0.2">
      <c r="A61" s="14">
        <v>48</v>
      </c>
      <c r="B61" s="15" t="s">
        <v>69</v>
      </c>
      <c r="C61" s="15" t="s">
        <v>83</v>
      </c>
      <c r="D61" s="15">
        <v>32</v>
      </c>
      <c r="E61">
        <v>207</v>
      </c>
      <c r="F61">
        <f t="shared" si="0"/>
        <v>6624</v>
      </c>
    </row>
    <row r="62" spans="1:6" x14ac:dyDescent="0.2">
      <c r="A62" s="14">
        <v>49</v>
      </c>
      <c r="B62" s="15" t="s">
        <v>70</v>
      </c>
      <c r="C62" s="15" t="s">
        <v>82</v>
      </c>
      <c r="D62" s="15">
        <v>39</v>
      </c>
      <c r="E62">
        <v>211</v>
      </c>
      <c r="F62">
        <f t="shared" si="0"/>
        <v>8229</v>
      </c>
    </row>
    <row r="63" spans="1:6" x14ac:dyDescent="0.2">
      <c r="A63" s="14">
        <v>50</v>
      </c>
      <c r="B63" s="15" t="s">
        <v>71</v>
      </c>
      <c r="C63" s="15" t="s">
        <v>83</v>
      </c>
      <c r="D63" s="15">
        <v>29</v>
      </c>
      <c r="E63">
        <v>235</v>
      </c>
      <c r="F63">
        <f t="shared" si="0"/>
        <v>6815</v>
      </c>
    </row>
    <row r="64" spans="1:6" x14ac:dyDescent="0.2">
      <c r="A64" s="14">
        <v>51</v>
      </c>
      <c r="B64" s="15" t="s">
        <v>72</v>
      </c>
      <c r="C64" s="15" t="s">
        <v>82</v>
      </c>
      <c r="D64" s="15">
        <v>32</v>
      </c>
      <c r="E64">
        <v>206</v>
      </c>
      <c r="F64">
        <f t="shared" si="0"/>
        <v>6592</v>
      </c>
    </row>
    <row r="65" spans="1:6" x14ac:dyDescent="0.2">
      <c r="A65" s="14">
        <v>52</v>
      </c>
      <c r="B65" s="15" t="s">
        <v>56</v>
      </c>
      <c r="C65" s="15" t="s">
        <v>83</v>
      </c>
      <c r="D65" s="15">
        <v>25</v>
      </c>
      <c r="E65">
        <v>284</v>
      </c>
      <c r="F65">
        <f t="shared" si="0"/>
        <v>7100</v>
      </c>
    </row>
    <row r="66" spans="1:6" x14ac:dyDescent="0.2">
      <c r="A66" s="14">
        <v>53</v>
      </c>
      <c r="B66" s="15" t="s">
        <v>57</v>
      </c>
      <c r="C66" s="15" t="s">
        <v>82</v>
      </c>
      <c r="D66" s="15">
        <v>36</v>
      </c>
      <c r="E66">
        <v>298</v>
      </c>
      <c r="F66">
        <f t="shared" si="0"/>
        <v>10728</v>
      </c>
    </row>
    <row r="67" spans="1:6" x14ac:dyDescent="0.2">
      <c r="A67" s="14">
        <v>54</v>
      </c>
      <c r="B67" s="15" t="s">
        <v>58</v>
      </c>
      <c r="C67" s="15" t="s">
        <v>83</v>
      </c>
      <c r="D67" s="15">
        <v>25</v>
      </c>
      <c r="E67">
        <v>243</v>
      </c>
      <c r="F67">
        <f t="shared" si="0"/>
        <v>6075</v>
      </c>
    </row>
    <row r="68" spans="1:6" x14ac:dyDescent="0.2">
      <c r="A68" s="14">
        <v>55</v>
      </c>
      <c r="B68" s="15" t="s">
        <v>59</v>
      </c>
      <c r="C68" s="15" t="s">
        <v>82</v>
      </c>
      <c r="D68" s="15">
        <v>58</v>
      </c>
      <c r="E68">
        <v>298</v>
      </c>
      <c r="F68">
        <f t="shared" si="0"/>
        <v>17284</v>
      </c>
    </row>
    <row r="69" spans="1:6" x14ac:dyDescent="0.2">
      <c r="A69" s="14">
        <v>56</v>
      </c>
      <c r="B69" s="15" t="s">
        <v>60</v>
      </c>
      <c r="C69" s="15" t="s">
        <v>83</v>
      </c>
      <c r="D69" s="15">
        <v>24</v>
      </c>
      <c r="E69">
        <v>273</v>
      </c>
      <c r="F69">
        <f t="shared" si="0"/>
        <v>6552</v>
      </c>
    </row>
    <row r="70" spans="1:6" x14ac:dyDescent="0.2">
      <c r="A70" s="14">
        <v>57</v>
      </c>
      <c r="B70" s="15" t="s">
        <v>61</v>
      </c>
      <c r="C70" s="15" t="s">
        <v>82</v>
      </c>
      <c r="D70" s="15">
        <v>56</v>
      </c>
      <c r="E70">
        <v>236</v>
      </c>
      <c r="F70">
        <f t="shared" si="0"/>
        <v>13216</v>
      </c>
    </row>
    <row r="71" spans="1:6" x14ac:dyDescent="0.2">
      <c r="A71" s="14">
        <v>58</v>
      </c>
      <c r="B71" s="15" t="s">
        <v>62</v>
      </c>
      <c r="C71" s="15" t="s">
        <v>83</v>
      </c>
      <c r="D71" s="15">
        <v>27</v>
      </c>
      <c r="E71">
        <v>272</v>
      </c>
      <c r="F71">
        <f t="shared" si="0"/>
        <v>7344</v>
      </c>
    </row>
    <row r="72" spans="1:6" x14ac:dyDescent="0.2">
      <c r="A72" s="14">
        <v>59</v>
      </c>
      <c r="B72" s="15" t="s">
        <v>63</v>
      </c>
      <c r="C72" s="15" t="s">
        <v>82</v>
      </c>
      <c r="D72" s="15">
        <v>40</v>
      </c>
      <c r="E72">
        <v>264</v>
      </c>
      <c r="F72">
        <f t="shared" si="0"/>
        <v>10560</v>
      </c>
    </row>
    <row r="73" spans="1:6" x14ac:dyDescent="0.2">
      <c r="A73" s="14">
        <v>60</v>
      </c>
      <c r="B73" s="15" t="s">
        <v>64</v>
      </c>
      <c r="C73" s="15" t="s">
        <v>83</v>
      </c>
      <c r="D73" s="15">
        <v>28</v>
      </c>
      <c r="E73">
        <v>285</v>
      </c>
      <c r="F73">
        <f t="shared" si="0"/>
        <v>7980</v>
      </c>
    </row>
    <row r="74" spans="1:6" x14ac:dyDescent="0.2">
      <c r="A74" s="14">
        <v>61</v>
      </c>
      <c r="B74" s="15" t="s">
        <v>65</v>
      </c>
      <c r="C74" s="15" t="s">
        <v>82</v>
      </c>
      <c r="D74" s="15">
        <v>39</v>
      </c>
      <c r="E74">
        <v>235</v>
      </c>
      <c r="F74">
        <f t="shared" si="0"/>
        <v>9165</v>
      </c>
    </row>
    <row r="75" spans="1:6" x14ac:dyDescent="0.2">
      <c r="A75" s="14">
        <v>62</v>
      </c>
      <c r="B75" s="15" t="s">
        <v>66</v>
      </c>
      <c r="C75" s="15" t="s">
        <v>83</v>
      </c>
      <c r="D75" s="15">
        <v>38</v>
      </c>
      <c r="E75">
        <v>265</v>
      </c>
      <c r="F75">
        <f t="shared" si="0"/>
        <v>10070</v>
      </c>
    </row>
    <row r="76" spans="1:6" x14ac:dyDescent="0.2">
      <c r="A76" s="14">
        <v>63</v>
      </c>
      <c r="B76" s="15" t="s">
        <v>67</v>
      </c>
      <c r="C76" s="15" t="s">
        <v>82</v>
      </c>
      <c r="D76" s="15">
        <v>32</v>
      </c>
      <c r="E76">
        <v>212</v>
      </c>
      <c r="F76">
        <f t="shared" si="0"/>
        <v>6784</v>
      </c>
    </row>
    <row r="77" spans="1:6" x14ac:dyDescent="0.2">
      <c r="A77" s="14">
        <v>64</v>
      </c>
      <c r="B77" s="15" t="s">
        <v>68</v>
      </c>
      <c r="C77" s="15" t="s">
        <v>83</v>
      </c>
      <c r="D77" s="15">
        <v>26</v>
      </c>
      <c r="E77">
        <v>265</v>
      </c>
      <c r="F77">
        <f t="shared" si="0"/>
        <v>6890</v>
      </c>
    </row>
    <row r="78" spans="1:6" x14ac:dyDescent="0.2">
      <c r="A78" s="14">
        <v>65</v>
      </c>
      <c r="B78" s="15" t="s">
        <v>69</v>
      </c>
      <c r="C78" s="15" t="s">
        <v>82</v>
      </c>
      <c r="D78" s="15">
        <v>31</v>
      </c>
      <c r="E78">
        <v>285</v>
      </c>
      <c r="F78">
        <f t="shared" si="0"/>
        <v>8835</v>
      </c>
    </row>
    <row r="79" spans="1:6" x14ac:dyDescent="0.2">
      <c r="A79" s="14">
        <v>66</v>
      </c>
      <c r="B79" s="15" t="s">
        <v>70</v>
      </c>
      <c r="C79" s="15" t="s">
        <v>83</v>
      </c>
      <c r="D79" s="15">
        <v>24</v>
      </c>
      <c r="E79">
        <v>266</v>
      </c>
      <c r="F79">
        <f t="shared" ref="F79:F113" si="1">D79*E79</f>
        <v>6384</v>
      </c>
    </row>
    <row r="80" spans="1:6" x14ac:dyDescent="0.2">
      <c r="A80" s="14">
        <v>67</v>
      </c>
      <c r="B80" s="15" t="s">
        <v>71</v>
      </c>
      <c r="C80" s="15" t="s">
        <v>82</v>
      </c>
      <c r="D80" s="15">
        <v>39</v>
      </c>
      <c r="E80">
        <v>266</v>
      </c>
      <c r="F80">
        <f t="shared" si="1"/>
        <v>10374</v>
      </c>
    </row>
    <row r="81" spans="1:6" x14ac:dyDescent="0.2">
      <c r="A81" s="14">
        <v>68</v>
      </c>
      <c r="B81" s="15" t="s">
        <v>72</v>
      </c>
      <c r="C81" s="15" t="s">
        <v>83</v>
      </c>
      <c r="D81" s="15">
        <v>28</v>
      </c>
      <c r="E81">
        <v>241</v>
      </c>
      <c r="F81">
        <f t="shared" si="1"/>
        <v>6748</v>
      </c>
    </row>
    <row r="82" spans="1:6" x14ac:dyDescent="0.2">
      <c r="A82" s="14">
        <v>69</v>
      </c>
      <c r="B82" s="15" t="s">
        <v>56</v>
      </c>
      <c r="C82" s="15" t="s">
        <v>82</v>
      </c>
      <c r="D82" s="15">
        <v>26</v>
      </c>
      <c r="E82">
        <v>287</v>
      </c>
      <c r="F82">
        <f t="shared" si="1"/>
        <v>7462</v>
      </c>
    </row>
    <row r="83" spans="1:6" x14ac:dyDescent="0.2">
      <c r="A83" s="14">
        <v>70</v>
      </c>
      <c r="B83" s="15" t="s">
        <v>57</v>
      </c>
      <c r="C83" s="15" t="s">
        <v>83</v>
      </c>
      <c r="D83" s="15">
        <v>46</v>
      </c>
      <c r="E83">
        <v>260</v>
      </c>
      <c r="F83">
        <f t="shared" si="1"/>
        <v>11960</v>
      </c>
    </row>
    <row r="84" spans="1:6" x14ac:dyDescent="0.2">
      <c r="A84" s="14">
        <v>71</v>
      </c>
      <c r="B84" s="15" t="s">
        <v>58</v>
      </c>
      <c r="C84" s="15" t="s">
        <v>82</v>
      </c>
      <c r="D84" s="15">
        <v>37</v>
      </c>
      <c r="E84">
        <v>261</v>
      </c>
      <c r="F84">
        <f t="shared" si="1"/>
        <v>9657</v>
      </c>
    </row>
    <row r="85" spans="1:6" x14ac:dyDescent="0.2">
      <c r="A85" s="14">
        <v>72</v>
      </c>
      <c r="B85" s="15" t="s">
        <v>59</v>
      </c>
      <c r="C85" s="15" t="s">
        <v>83</v>
      </c>
      <c r="D85" s="15">
        <v>52</v>
      </c>
      <c r="E85">
        <v>293</v>
      </c>
      <c r="F85">
        <f t="shared" si="1"/>
        <v>15236</v>
      </c>
    </row>
    <row r="86" spans="1:6" x14ac:dyDescent="0.2">
      <c r="A86" s="14">
        <v>73</v>
      </c>
      <c r="B86" s="15" t="s">
        <v>60</v>
      </c>
      <c r="C86" s="15" t="s">
        <v>82</v>
      </c>
      <c r="D86" s="15">
        <v>46</v>
      </c>
      <c r="E86">
        <v>213</v>
      </c>
      <c r="F86">
        <f t="shared" si="1"/>
        <v>9798</v>
      </c>
    </row>
    <row r="87" spans="1:6" x14ac:dyDescent="0.2">
      <c r="A87" s="14">
        <v>74</v>
      </c>
      <c r="B87" s="15" t="s">
        <v>61</v>
      </c>
      <c r="C87" s="15" t="s">
        <v>83</v>
      </c>
      <c r="D87" s="15">
        <v>42</v>
      </c>
      <c r="E87">
        <v>297</v>
      </c>
      <c r="F87">
        <f t="shared" si="1"/>
        <v>12474</v>
      </c>
    </row>
    <row r="88" spans="1:6" x14ac:dyDescent="0.2">
      <c r="A88" s="14">
        <v>75</v>
      </c>
      <c r="B88" s="15" t="s">
        <v>62</v>
      </c>
      <c r="C88" s="15" t="s">
        <v>82</v>
      </c>
      <c r="D88" s="15">
        <v>21</v>
      </c>
      <c r="E88">
        <v>213</v>
      </c>
      <c r="F88">
        <f t="shared" si="1"/>
        <v>4473</v>
      </c>
    </row>
    <row r="89" spans="1:6" x14ac:dyDescent="0.2">
      <c r="A89" s="14">
        <v>76</v>
      </c>
      <c r="B89" s="15" t="s">
        <v>63</v>
      </c>
      <c r="C89" s="15" t="s">
        <v>83</v>
      </c>
      <c r="D89" s="15">
        <v>28</v>
      </c>
      <c r="E89">
        <v>213</v>
      </c>
      <c r="F89">
        <f t="shared" si="1"/>
        <v>5964</v>
      </c>
    </row>
    <row r="90" spans="1:6" x14ac:dyDescent="0.2">
      <c r="A90" s="14">
        <v>77</v>
      </c>
      <c r="B90" s="15" t="s">
        <v>64</v>
      </c>
      <c r="C90" s="15" t="s">
        <v>82</v>
      </c>
      <c r="D90" s="15">
        <v>29</v>
      </c>
      <c r="E90">
        <v>280</v>
      </c>
      <c r="F90">
        <f t="shared" si="1"/>
        <v>8120</v>
      </c>
    </row>
    <row r="91" spans="1:6" x14ac:dyDescent="0.2">
      <c r="A91" s="14">
        <v>78</v>
      </c>
      <c r="B91" s="15" t="s">
        <v>65</v>
      </c>
      <c r="C91" s="15" t="s">
        <v>83</v>
      </c>
      <c r="D91" s="15">
        <v>23</v>
      </c>
      <c r="E91">
        <v>235</v>
      </c>
      <c r="F91">
        <f t="shared" si="1"/>
        <v>5405</v>
      </c>
    </row>
    <row r="92" spans="1:6" x14ac:dyDescent="0.2">
      <c r="A92" s="14">
        <v>79</v>
      </c>
      <c r="B92" s="15" t="s">
        <v>66</v>
      </c>
      <c r="C92" s="15" t="s">
        <v>82</v>
      </c>
      <c r="D92" s="15">
        <v>41</v>
      </c>
      <c r="E92">
        <v>265</v>
      </c>
      <c r="F92">
        <f t="shared" si="1"/>
        <v>10865</v>
      </c>
    </row>
    <row r="93" spans="1:6" x14ac:dyDescent="0.2">
      <c r="A93" s="14">
        <v>80</v>
      </c>
      <c r="B93" s="15" t="s">
        <v>67</v>
      </c>
      <c r="C93" s="15" t="s">
        <v>83</v>
      </c>
      <c r="D93" s="15">
        <v>28</v>
      </c>
      <c r="E93">
        <v>251</v>
      </c>
      <c r="F93">
        <f t="shared" si="1"/>
        <v>7028</v>
      </c>
    </row>
    <row r="94" spans="1:6" x14ac:dyDescent="0.2">
      <c r="A94" s="14">
        <v>81</v>
      </c>
      <c r="B94" s="15" t="s">
        <v>68</v>
      </c>
      <c r="C94" s="15" t="s">
        <v>82</v>
      </c>
      <c r="D94" s="15">
        <v>37</v>
      </c>
      <c r="E94">
        <v>283</v>
      </c>
      <c r="F94">
        <f t="shared" si="1"/>
        <v>10471</v>
      </c>
    </row>
    <row r="95" spans="1:6" x14ac:dyDescent="0.2">
      <c r="A95" s="14">
        <v>82</v>
      </c>
      <c r="B95" s="15" t="s">
        <v>69</v>
      </c>
      <c r="C95" s="15" t="s">
        <v>83</v>
      </c>
      <c r="D95" s="15">
        <v>34</v>
      </c>
      <c r="E95">
        <v>262</v>
      </c>
      <c r="F95">
        <f t="shared" si="1"/>
        <v>8908</v>
      </c>
    </row>
    <row r="96" spans="1:6" x14ac:dyDescent="0.2">
      <c r="A96" s="14">
        <v>83</v>
      </c>
      <c r="B96" s="15" t="s">
        <v>70</v>
      </c>
      <c r="C96" s="15" t="s">
        <v>82</v>
      </c>
      <c r="D96" s="15">
        <v>26</v>
      </c>
      <c r="E96">
        <v>267</v>
      </c>
      <c r="F96">
        <f t="shared" si="1"/>
        <v>6942</v>
      </c>
    </row>
    <row r="97" spans="1:6" x14ac:dyDescent="0.2">
      <c r="A97" s="14">
        <v>84</v>
      </c>
      <c r="B97" s="15" t="s">
        <v>71</v>
      </c>
      <c r="C97" s="15" t="s">
        <v>83</v>
      </c>
      <c r="D97" s="15">
        <v>35</v>
      </c>
      <c r="E97">
        <v>300</v>
      </c>
      <c r="F97">
        <f t="shared" si="1"/>
        <v>10500</v>
      </c>
    </row>
    <row r="98" spans="1:6" x14ac:dyDescent="0.2">
      <c r="A98" s="14">
        <v>85</v>
      </c>
      <c r="B98" s="15" t="s">
        <v>72</v>
      </c>
      <c r="C98" s="15" t="s">
        <v>82</v>
      </c>
      <c r="D98" s="15">
        <v>36</v>
      </c>
      <c r="E98">
        <v>269</v>
      </c>
      <c r="F98">
        <f t="shared" si="1"/>
        <v>9684</v>
      </c>
    </row>
    <row r="99" spans="1:6" x14ac:dyDescent="0.2">
      <c r="A99" s="14">
        <v>86</v>
      </c>
      <c r="B99" s="15" t="s">
        <v>56</v>
      </c>
      <c r="C99" s="15" t="s">
        <v>83</v>
      </c>
      <c r="D99" s="15">
        <v>29</v>
      </c>
      <c r="E99">
        <v>257</v>
      </c>
      <c r="F99">
        <f t="shared" si="1"/>
        <v>7453</v>
      </c>
    </row>
    <row r="100" spans="1:6" x14ac:dyDescent="0.2">
      <c r="A100" s="14">
        <v>87</v>
      </c>
      <c r="B100" s="15" t="s">
        <v>57</v>
      </c>
      <c r="C100" s="15" t="s">
        <v>82</v>
      </c>
      <c r="D100" s="15">
        <v>27</v>
      </c>
      <c r="E100">
        <v>294</v>
      </c>
      <c r="F100">
        <f t="shared" si="1"/>
        <v>7938</v>
      </c>
    </row>
    <row r="101" spans="1:6" x14ac:dyDescent="0.2">
      <c r="A101" s="14">
        <v>88</v>
      </c>
      <c r="B101" s="15" t="s">
        <v>58</v>
      </c>
      <c r="C101" s="15" t="s">
        <v>83</v>
      </c>
      <c r="D101" s="15">
        <v>25</v>
      </c>
      <c r="E101">
        <v>273</v>
      </c>
      <c r="F101">
        <f t="shared" si="1"/>
        <v>6825</v>
      </c>
    </row>
    <row r="102" spans="1:6" x14ac:dyDescent="0.2">
      <c r="A102" s="14">
        <v>89</v>
      </c>
      <c r="B102" s="15" t="s">
        <v>59</v>
      </c>
      <c r="C102" s="15" t="s">
        <v>82</v>
      </c>
      <c r="D102" s="15">
        <v>36</v>
      </c>
      <c r="E102">
        <v>272</v>
      </c>
      <c r="F102">
        <f t="shared" si="1"/>
        <v>9792</v>
      </c>
    </row>
    <row r="103" spans="1:6" x14ac:dyDescent="0.2">
      <c r="A103" s="14">
        <v>90</v>
      </c>
      <c r="B103" s="15" t="s">
        <v>60</v>
      </c>
      <c r="C103" s="15" t="s">
        <v>83</v>
      </c>
      <c r="D103" s="15">
        <v>37</v>
      </c>
      <c r="E103">
        <v>227</v>
      </c>
      <c r="F103">
        <f t="shared" si="1"/>
        <v>8399</v>
      </c>
    </row>
    <row r="104" spans="1:6" x14ac:dyDescent="0.2">
      <c r="A104" s="14">
        <v>91</v>
      </c>
      <c r="B104" s="15" t="s">
        <v>61</v>
      </c>
      <c r="C104" s="15" t="s">
        <v>82</v>
      </c>
      <c r="D104" s="15">
        <v>26</v>
      </c>
      <c r="E104">
        <v>239</v>
      </c>
      <c r="F104">
        <f t="shared" si="1"/>
        <v>6214</v>
      </c>
    </row>
    <row r="105" spans="1:6" x14ac:dyDescent="0.2">
      <c r="A105" s="14">
        <v>92</v>
      </c>
      <c r="B105" s="15" t="s">
        <v>62</v>
      </c>
      <c r="C105" s="15" t="s">
        <v>83</v>
      </c>
      <c r="D105" s="15">
        <v>37</v>
      </c>
      <c r="E105">
        <v>289</v>
      </c>
      <c r="F105">
        <f t="shared" si="1"/>
        <v>10693</v>
      </c>
    </row>
    <row r="106" spans="1:6" x14ac:dyDescent="0.2">
      <c r="A106" s="14">
        <v>93</v>
      </c>
      <c r="B106" s="15" t="s">
        <v>63</v>
      </c>
      <c r="C106" s="15" t="s">
        <v>82</v>
      </c>
      <c r="D106" s="15">
        <v>24</v>
      </c>
      <c r="E106">
        <v>205</v>
      </c>
      <c r="F106">
        <f t="shared" si="1"/>
        <v>4920</v>
      </c>
    </row>
    <row r="107" spans="1:6" x14ac:dyDescent="0.2">
      <c r="A107" s="14">
        <v>94</v>
      </c>
      <c r="B107" s="15" t="s">
        <v>64</v>
      </c>
      <c r="C107" s="15" t="s">
        <v>83</v>
      </c>
      <c r="D107" s="15">
        <v>39</v>
      </c>
      <c r="E107">
        <v>235</v>
      </c>
      <c r="F107">
        <f t="shared" si="1"/>
        <v>9165</v>
      </c>
    </row>
    <row r="108" spans="1:6" x14ac:dyDescent="0.2">
      <c r="A108" s="14">
        <v>95</v>
      </c>
      <c r="B108" s="15" t="s">
        <v>65</v>
      </c>
      <c r="C108" s="15" t="s">
        <v>82</v>
      </c>
      <c r="D108" s="15">
        <v>26</v>
      </c>
      <c r="E108">
        <v>216</v>
      </c>
      <c r="F108">
        <f t="shared" si="1"/>
        <v>5616</v>
      </c>
    </row>
    <row r="109" spans="1:6" x14ac:dyDescent="0.2">
      <c r="A109" s="14">
        <v>96</v>
      </c>
      <c r="B109" s="15" t="s">
        <v>66</v>
      </c>
      <c r="C109" s="15" t="s">
        <v>83</v>
      </c>
      <c r="D109" s="15">
        <v>34</v>
      </c>
      <c r="E109">
        <v>283</v>
      </c>
      <c r="F109">
        <f t="shared" si="1"/>
        <v>9622</v>
      </c>
    </row>
    <row r="110" spans="1:6" x14ac:dyDescent="0.2">
      <c r="A110" s="14">
        <v>97</v>
      </c>
      <c r="B110" s="15" t="s">
        <v>67</v>
      </c>
      <c r="C110" s="15" t="s">
        <v>82</v>
      </c>
      <c r="D110" s="15">
        <v>28</v>
      </c>
      <c r="E110">
        <v>257</v>
      </c>
      <c r="F110">
        <f t="shared" si="1"/>
        <v>7196</v>
      </c>
    </row>
    <row r="111" spans="1:6" x14ac:dyDescent="0.2">
      <c r="A111" s="14">
        <v>98</v>
      </c>
      <c r="B111" s="15" t="s">
        <v>68</v>
      </c>
      <c r="C111" s="15" t="s">
        <v>83</v>
      </c>
      <c r="D111" s="15">
        <v>32</v>
      </c>
      <c r="E111">
        <v>209</v>
      </c>
      <c r="F111">
        <f t="shared" si="1"/>
        <v>6688</v>
      </c>
    </row>
    <row r="112" spans="1:6" x14ac:dyDescent="0.2">
      <c r="A112" s="14">
        <v>99</v>
      </c>
      <c r="B112" s="15" t="s">
        <v>69</v>
      </c>
      <c r="C112" s="15" t="s">
        <v>82</v>
      </c>
      <c r="D112" s="15">
        <v>39</v>
      </c>
      <c r="E112">
        <v>209</v>
      </c>
      <c r="F112">
        <f t="shared" si="1"/>
        <v>8151</v>
      </c>
    </row>
    <row r="113" spans="1:6" x14ac:dyDescent="0.2">
      <c r="A113" s="14">
        <v>100</v>
      </c>
      <c r="B113" s="15" t="s">
        <v>70</v>
      </c>
      <c r="C113" s="15" t="s">
        <v>83</v>
      </c>
      <c r="D113" s="15">
        <v>29</v>
      </c>
      <c r="E113">
        <v>253</v>
      </c>
      <c r="F113">
        <f t="shared" si="1"/>
        <v>7337</v>
      </c>
    </row>
    <row r="114" spans="1:6" x14ac:dyDescent="0.2">
      <c r="A114" s="24">
        <v>101</v>
      </c>
    </row>
    <row r="115" spans="1:6" x14ac:dyDescent="0.2">
      <c r="A115" s="11"/>
    </row>
    <row r="116" spans="1:6" x14ac:dyDescent="0.2">
      <c r="A116" s="11"/>
    </row>
    <row r="117" spans="1:6" x14ac:dyDescent="0.2">
      <c r="A117" s="11"/>
    </row>
    <row r="118" spans="1:6" x14ac:dyDescent="0.2">
      <c r="A118" s="11"/>
    </row>
    <row r="119" spans="1:6" x14ac:dyDescent="0.2">
      <c r="A119" s="11"/>
    </row>
  </sheetData>
  <printOptions headings="1"/>
  <pageMargins left="0.7" right="0.22" top="0.56999999999999995" bottom="0.75" header="0.3" footer="0.3"/>
  <pageSetup paperSize="9" scale="61" fitToWidth="0" fitToHeight="0" orientation="portrait" verticalDpi="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C8"/>
  <sheetViews>
    <sheetView topLeftCell="C1" zoomScale="175" zoomScaleNormal="175" workbookViewId="0">
      <selection activeCell="C4" sqref="C4"/>
    </sheetView>
  </sheetViews>
  <sheetFormatPr defaultRowHeight="14.25" x14ac:dyDescent="0.2"/>
  <cols>
    <col min="1" max="1" width="12.625" bestFit="1" customWidth="1"/>
    <col min="3" max="3" width="12.625" bestFit="1" customWidth="1"/>
  </cols>
  <sheetData>
    <row r="1" spans="1:3" x14ac:dyDescent="0.2">
      <c r="A1" s="15" t="s">
        <v>56</v>
      </c>
      <c r="C1" s="25" t="s">
        <v>56</v>
      </c>
    </row>
    <row r="2" spans="1:3" x14ac:dyDescent="0.2">
      <c r="A2" s="15" t="s">
        <v>57</v>
      </c>
      <c r="C2" s="25">
        <v>2020</v>
      </c>
    </row>
    <row r="3" spans="1:3" x14ac:dyDescent="0.2">
      <c r="A3" s="15" t="s">
        <v>58</v>
      </c>
      <c r="C3" s="25" t="s">
        <v>58</v>
      </c>
    </row>
    <row r="4" spans="1:3" x14ac:dyDescent="0.2">
      <c r="A4" s="15" t="s">
        <v>59</v>
      </c>
      <c r="C4" s="25" t="s">
        <v>59</v>
      </c>
    </row>
    <row r="5" spans="1:3" x14ac:dyDescent="0.2">
      <c r="A5" s="15" t="s">
        <v>60</v>
      </c>
      <c r="C5" s="25" t="s">
        <v>60</v>
      </c>
    </row>
    <row r="6" spans="1:3" x14ac:dyDescent="0.2">
      <c r="A6" s="15" t="s">
        <v>61</v>
      </c>
      <c r="C6" s="25" t="s">
        <v>61</v>
      </c>
    </row>
    <row r="7" spans="1:3" x14ac:dyDescent="0.2">
      <c r="A7" s="15" t="s">
        <v>62</v>
      </c>
      <c r="C7" s="25" t="s">
        <v>281</v>
      </c>
    </row>
    <row r="8" spans="1:3" x14ac:dyDescent="0.2">
      <c r="A8" s="15" t="s">
        <v>63</v>
      </c>
      <c r="C8" s="25" t="s">
        <v>63</v>
      </c>
    </row>
  </sheetData>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102"/>
  <sheetViews>
    <sheetView tabSelected="1" zoomScale="145" zoomScaleNormal="145" workbookViewId="0">
      <selection activeCell="E13" sqref="E13"/>
    </sheetView>
  </sheetViews>
  <sheetFormatPr defaultRowHeight="14.25" x14ac:dyDescent="0.2"/>
  <cols>
    <col min="2" max="2" width="13.625" bestFit="1" customWidth="1"/>
    <col min="3" max="3" width="5.875" bestFit="1" customWidth="1"/>
  </cols>
  <sheetData>
    <row r="1" spans="1:6" ht="15.75" x14ac:dyDescent="0.3">
      <c r="A1" s="27" t="s">
        <v>55</v>
      </c>
      <c r="B1" s="27" t="s">
        <v>73</v>
      </c>
      <c r="C1" s="27" t="s">
        <v>81</v>
      </c>
      <c r="D1" s="27" t="s">
        <v>84</v>
      </c>
      <c r="E1" s="28" t="s">
        <v>85</v>
      </c>
      <c r="F1" s="28" t="s">
        <v>86</v>
      </c>
    </row>
    <row r="2" spans="1:6" x14ac:dyDescent="0.2">
      <c r="A2" s="13"/>
      <c r="B2" s="13"/>
      <c r="C2" s="13"/>
      <c r="D2" s="13"/>
      <c r="E2" s="26"/>
      <c r="F2" s="26"/>
    </row>
    <row r="3" spans="1:6" x14ac:dyDescent="0.2">
      <c r="A3" s="14">
        <v>1</v>
      </c>
      <c r="B3" s="15" t="s">
        <v>56</v>
      </c>
      <c r="C3" s="15" t="s">
        <v>82</v>
      </c>
      <c r="D3" s="15">
        <v>32</v>
      </c>
      <c r="E3">
        <v>293</v>
      </c>
      <c r="F3">
        <f>D3*E3</f>
        <v>9376</v>
      </c>
    </row>
    <row r="4" spans="1:6" x14ac:dyDescent="0.2">
      <c r="A4" s="14">
        <v>2</v>
      </c>
      <c r="B4" s="15" t="s">
        <v>57</v>
      </c>
      <c r="C4" s="15" t="s">
        <v>83</v>
      </c>
      <c r="D4" s="15">
        <v>25</v>
      </c>
      <c r="E4">
        <v>294</v>
      </c>
      <c r="F4">
        <f t="shared" ref="F4:F67" si="0">D4*E4</f>
        <v>7350</v>
      </c>
    </row>
    <row r="5" spans="1:6" x14ac:dyDescent="0.2">
      <c r="A5" s="14">
        <v>3</v>
      </c>
      <c r="B5" s="15" t="s">
        <v>58</v>
      </c>
      <c r="C5" s="15" t="s">
        <v>82</v>
      </c>
      <c r="D5" s="15">
        <v>36</v>
      </c>
      <c r="E5">
        <v>215</v>
      </c>
      <c r="F5">
        <f t="shared" si="0"/>
        <v>7740</v>
      </c>
    </row>
    <row r="6" spans="1:6" x14ac:dyDescent="0.2">
      <c r="A6" s="14">
        <v>4</v>
      </c>
      <c r="B6" s="15" t="s">
        <v>59</v>
      </c>
      <c r="C6" s="15" t="s">
        <v>83</v>
      </c>
      <c r="D6" s="15">
        <v>25</v>
      </c>
      <c r="E6">
        <v>234</v>
      </c>
      <c r="F6">
        <f t="shared" si="0"/>
        <v>5850</v>
      </c>
    </row>
    <row r="7" spans="1:6" x14ac:dyDescent="0.2">
      <c r="A7" s="14">
        <v>5</v>
      </c>
      <c r="B7" s="15" t="s">
        <v>60</v>
      </c>
      <c r="C7" s="15" t="s">
        <v>82</v>
      </c>
      <c r="D7" s="15">
        <v>58</v>
      </c>
      <c r="E7">
        <v>211</v>
      </c>
      <c r="F7">
        <f t="shared" si="0"/>
        <v>12238</v>
      </c>
    </row>
    <row r="8" spans="1:6" x14ac:dyDescent="0.2">
      <c r="A8" s="14">
        <v>6</v>
      </c>
      <c r="B8" s="15" t="s">
        <v>61</v>
      </c>
      <c r="C8" s="15" t="s">
        <v>83</v>
      </c>
      <c r="D8" s="15">
        <v>24</v>
      </c>
      <c r="E8">
        <v>286</v>
      </c>
      <c r="F8">
        <f t="shared" si="0"/>
        <v>6864</v>
      </c>
    </row>
    <row r="9" spans="1:6" x14ac:dyDescent="0.2">
      <c r="A9" s="14">
        <v>7</v>
      </c>
      <c r="B9" s="15" t="s">
        <v>62</v>
      </c>
      <c r="C9" s="15" t="s">
        <v>82</v>
      </c>
      <c r="D9" s="15">
        <v>56</v>
      </c>
      <c r="E9">
        <v>236</v>
      </c>
      <c r="F9">
        <f t="shared" si="0"/>
        <v>13216</v>
      </c>
    </row>
    <row r="10" spans="1:6" x14ac:dyDescent="0.2">
      <c r="A10" s="14">
        <v>8</v>
      </c>
      <c r="B10" s="15" t="s">
        <v>63</v>
      </c>
      <c r="C10" s="15" t="s">
        <v>83</v>
      </c>
      <c r="D10" s="15">
        <v>27</v>
      </c>
      <c r="E10">
        <v>243</v>
      </c>
      <c r="F10">
        <f t="shared" si="0"/>
        <v>6561</v>
      </c>
    </row>
    <row r="11" spans="1:6" x14ac:dyDescent="0.2">
      <c r="A11" s="14">
        <v>9</v>
      </c>
      <c r="B11" s="15" t="s">
        <v>64</v>
      </c>
      <c r="C11" s="15" t="s">
        <v>82</v>
      </c>
      <c r="D11" s="15">
        <v>40</v>
      </c>
      <c r="E11">
        <v>219</v>
      </c>
      <c r="F11">
        <f t="shared" si="0"/>
        <v>8760</v>
      </c>
    </row>
    <row r="12" spans="1:6" x14ac:dyDescent="0.2">
      <c r="A12" s="14">
        <v>10</v>
      </c>
      <c r="B12" s="15" t="s">
        <v>65</v>
      </c>
      <c r="C12" s="15" t="s">
        <v>83</v>
      </c>
      <c r="D12" s="15">
        <v>28</v>
      </c>
      <c r="E12">
        <v>242</v>
      </c>
      <c r="F12">
        <f t="shared" si="0"/>
        <v>6776</v>
      </c>
    </row>
    <row r="13" spans="1:6" x14ac:dyDescent="0.2">
      <c r="A13" s="14">
        <v>11</v>
      </c>
      <c r="B13" s="15" t="s">
        <v>66</v>
      </c>
      <c r="C13" s="15" t="s">
        <v>82</v>
      </c>
      <c r="D13" s="15">
        <v>39</v>
      </c>
      <c r="E13">
        <v>251</v>
      </c>
      <c r="F13">
        <f t="shared" si="0"/>
        <v>9789</v>
      </c>
    </row>
    <row r="14" spans="1:6" x14ac:dyDescent="0.2">
      <c r="A14" s="14">
        <v>12</v>
      </c>
      <c r="B14" s="15" t="s">
        <v>67</v>
      </c>
      <c r="C14" s="15" t="s">
        <v>83</v>
      </c>
      <c r="D14" s="15">
        <v>38</v>
      </c>
      <c r="E14">
        <v>248</v>
      </c>
      <c r="F14">
        <f t="shared" si="0"/>
        <v>9424</v>
      </c>
    </row>
    <row r="15" spans="1:6" x14ac:dyDescent="0.2">
      <c r="A15" s="14">
        <v>13</v>
      </c>
      <c r="B15" s="15" t="s">
        <v>68</v>
      </c>
      <c r="C15" s="15" t="s">
        <v>82</v>
      </c>
      <c r="D15" s="15">
        <v>32</v>
      </c>
      <c r="E15">
        <v>230</v>
      </c>
      <c r="F15">
        <f t="shared" si="0"/>
        <v>7360</v>
      </c>
    </row>
    <row r="16" spans="1:6" x14ac:dyDescent="0.2">
      <c r="A16" s="14">
        <v>14</v>
      </c>
      <c r="B16" s="15" t="s">
        <v>69</v>
      </c>
      <c r="C16" s="15" t="s">
        <v>83</v>
      </c>
      <c r="D16" s="15">
        <v>26</v>
      </c>
      <c r="E16">
        <v>281</v>
      </c>
      <c r="F16">
        <f t="shared" si="0"/>
        <v>7306</v>
      </c>
    </row>
    <row r="17" spans="1:6" x14ac:dyDescent="0.2">
      <c r="A17" s="14">
        <v>15</v>
      </c>
      <c r="B17" s="15" t="s">
        <v>70</v>
      </c>
      <c r="C17" s="15" t="s">
        <v>82</v>
      </c>
      <c r="D17" s="15">
        <v>31</v>
      </c>
      <c r="E17">
        <v>261</v>
      </c>
      <c r="F17">
        <f t="shared" si="0"/>
        <v>8091</v>
      </c>
    </row>
    <row r="18" spans="1:6" x14ac:dyDescent="0.2">
      <c r="A18" s="14">
        <v>16</v>
      </c>
      <c r="B18" s="15" t="s">
        <v>71</v>
      </c>
      <c r="C18" s="15" t="s">
        <v>83</v>
      </c>
      <c r="D18" s="15">
        <v>24</v>
      </c>
      <c r="E18">
        <v>274</v>
      </c>
      <c r="F18">
        <f t="shared" si="0"/>
        <v>6576</v>
      </c>
    </row>
    <row r="19" spans="1:6" x14ac:dyDescent="0.2">
      <c r="A19" s="14">
        <v>17</v>
      </c>
      <c r="B19" s="15" t="s">
        <v>72</v>
      </c>
      <c r="C19" s="15" t="s">
        <v>82</v>
      </c>
      <c r="D19" s="15">
        <v>39</v>
      </c>
      <c r="E19">
        <v>283</v>
      </c>
      <c r="F19">
        <f t="shared" si="0"/>
        <v>11037</v>
      </c>
    </row>
    <row r="20" spans="1:6" x14ac:dyDescent="0.2">
      <c r="A20" s="14">
        <v>18</v>
      </c>
      <c r="B20" s="15" t="s">
        <v>56</v>
      </c>
      <c r="C20" s="15" t="s">
        <v>83</v>
      </c>
      <c r="D20" s="15">
        <v>28</v>
      </c>
      <c r="E20">
        <v>249</v>
      </c>
      <c r="F20">
        <f t="shared" si="0"/>
        <v>6972</v>
      </c>
    </row>
    <row r="21" spans="1:6" x14ac:dyDescent="0.2">
      <c r="A21" s="14">
        <v>19</v>
      </c>
      <c r="B21" s="15" t="s">
        <v>57</v>
      </c>
      <c r="C21" s="15" t="s">
        <v>82</v>
      </c>
      <c r="D21" s="15">
        <v>26</v>
      </c>
      <c r="E21">
        <v>226</v>
      </c>
      <c r="F21">
        <f t="shared" si="0"/>
        <v>5876</v>
      </c>
    </row>
    <row r="22" spans="1:6" x14ac:dyDescent="0.2">
      <c r="A22" s="14">
        <v>20</v>
      </c>
      <c r="B22" s="15" t="s">
        <v>58</v>
      </c>
      <c r="C22" s="15" t="s">
        <v>83</v>
      </c>
      <c r="D22" s="15">
        <v>46</v>
      </c>
      <c r="E22">
        <v>275</v>
      </c>
      <c r="F22">
        <f t="shared" si="0"/>
        <v>12650</v>
      </c>
    </row>
    <row r="23" spans="1:6" x14ac:dyDescent="0.2">
      <c r="A23" s="14">
        <v>21</v>
      </c>
      <c r="B23" s="15" t="s">
        <v>59</v>
      </c>
      <c r="C23" s="15" t="s">
        <v>82</v>
      </c>
      <c r="D23" s="15">
        <v>37</v>
      </c>
      <c r="E23">
        <v>286</v>
      </c>
      <c r="F23">
        <f t="shared" si="0"/>
        <v>10582</v>
      </c>
    </row>
    <row r="24" spans="1:6" x14ac:dyDescent="0.2">
      <c r="A24" s="14">
        <v>22</v>
      </c>
      <c r="B24" s="15" t="s">
        <v>60</v>
      </c>
      <c r="C24" s="15" t="s">
        <v>83</v>
      </c>
      <c r="D24" s="15">
        <v>52</v>
      </c>
      <c r="E24">
        <v>220</v>
      </c>
      <c r="F24">
        <f t="shared" si="0"/>
        <v>11440</v>
      </c>
    </row>
    <row r="25" spans="1:6" x14ac:dyDescent="0.2">
      <c r="A25" s="14">
        <v>23</v>
      </c>
      <c r="B25" s="15" t="s">
        <v>61</v>
      </c>
      <c r="C25" s="15" t="s">
        <v>82</v>
      </c>
      <c r="D25" s="15">
        <v>46</v>
      </c>
      <c r="E25">
        <v>247</v>
      </c>
      <c r="F25">
        <f t="shared" si="0"/>
        <v>11362</v>
      </c>
    </row>
    <row r="26" spans="1:6" x14ac:dyDescent="0.2">
      <c r="A26" s="14">
        <v>24</v>
      </c>
      <c r="B26" s="15" t="s">
        <v>62</v>
      </c>
      <c r="C26" s="15" t="s">
        <v>83</v>
      </c>
      <c r="D26" s="15">
        <v>42</v>
      </c>
      <c r="E26">
        <v>255</v>
      </c>
      <c r="F26">
        <f t="shared" si="0"/>
        <v>10710</v>
      </c>
    </row>
    <row r="27" spans="1:6" x14ac:dyDescent="0.2">
      <c r="A27" s="14">
        <v>25</v>
      </c>
      <c r="B27" s="15" t="s">
        <v>63</v>
      </c>
      <c r="C27" s="15" t="s">
        <v>82</v>
      </c>
      <c r="D27" s="15">
        <v>21</v>
      </c>
      <c r="E27">
        <v>284</v>
      </c>
      <c r="F27">
        <f t="shared" si="0"/>
        <v>5964</v>
      </c>
    </row>
    <row r="28" spans="1:6" x14ac:dyDescent="0.2">
      <c r="A28" s="14">
        <v>26</v>
      </c>
      <c r="B28" s="15" t="s">
        <v>64</v>
      </c>
      <c r="C28" s="15" t="s">
        <v>83</v>
      </c>
      <c r="D28" s="15">
        <v>28</v>
      </c>
      <c r="E28">
        <v>260</v>
      </c>
      <c r="F28">
        <f t="shared" si="0"/>
        <v>7280</v>
      </c>
    </row>
    <row r="29" spans="1:6" x14ac:dyDescent="0.2">
      <c r="A29" s="14">
        <v>27</v>
      </c>
      <c r="B29" s="15" t="s">
        <v>65</v>
      </c>
      <c r="C29" s="15" t="s">
        <v>82</v>
      </c>
      <c r="D29" s="15">
        <v>29</v>
      </c>
      <c r="E29">
        <v>211</v>
      </c>
      <c r="F29">
        <f t="shared" si="0"/>
        <v>6119</v>
      </c>
    </row>
    <row r="30" spans="1:6" x14ac:dyDescent="0.2">
      <c r="A30" s="14">
        <v>28</v>
      </c>
      <c r="B30" s="15" t="s">
        <v>66</v>
      </c>
      <c r="C30" s="15" t="s">
        <v>83</v>
      </c>
      <c r="D30" s="15">
        <v>23</v>
      </c>
      <c r="E30">
        <v>243</v>
      </c>
      <c r="F30">
        <f t="shared" si="0"/>
        <v>5589</v>
      </c>
    </row>
    <row r="31" spans="1:6" x14ac:dyDescent="0.2">
      <c r="A31" s="14">
        <v>29</v>
      </c>
      <c r="B31" s="15" t="s">
        <v>67</v>
      </c>
      <c r="C31" s="15" t="s">
        <v>82</v>
      </c>
      <c r="D31" s="15">
        <v>41</v>
      </c>
      <c r="E31">
        <v>285</v>
      </c>
      <c r="F31">
        <f t="shared" si="0"/>
        <v>11685</v>
      </c>
    </row>
    <row r="32" spans="1:6" x14ac:dyDescent="0.2">
      <c r="A32" s="14">
        <v>30</v>
      </c>
      <c r="B32" s="15" t="s">
        <v>68</v>
      </c>
      <c r="C32" s="15" t="s">
        <v>83</v>
      </c>
      <c r="D32" s="15">
        <v>28</v>
      </c>
      <c r="E32">
        <v>263</v>
      </c>
      <c r="F32">
        <f t="shared" si="0"/>
        <v>7364</v>
      </c>
    </row>
    <row r="33" spans="1:6" x14ac:dyDescent="0.2">
      <c r="A33" s="14">
        <v>31</v>
      </c>
      <c r="B33" s="15" t="s">
        <v>69</v>
      </c>
      <c r="C33" s="15" t="s">
        <v>82</v>
      </c>
      <c r="D33" s="15">
        <v>37</v>
      </c>
      <c r="E33">
        <v>223</v>
      </c>
      <c r="F33">
        <f t="shared" si="0"/>
        <v>8251</v>
      </c>
    </row>
    <row r="34" spans="1:6" x14ac:dyDescent="0.2">
      <c r="A34" s="14">
        <v>32</v>
      </c>
      <c r="B34" s="15" t="s">
        <v>70</v>
      </c>
      <c r="C34" s="15" t="s">
        <v>83</v>
      </c>
      <c r="D34" s="15">
        <v>34</v>
      </c>
      <c r="E34">
        <v>219</v>
      </c>
      <c r="F34">
        <f t="shared" si="0"/>
        <v>7446</v>
      </c>
    </row>
    <row r="35" spans="1:6" x14ac:dyDescent="0.2">
      <c r="A35" s="14">
        <v>33</v>
      </c>
      <c r="B35" s="15" t="s">
        <v>71</v>
      </c>
      <c r="C35" s="15" t="s">
        <v>82</v>
      </c>
      <c r="D35" s="15">
        <v>26</v>
      </c>
      <c r="E35">
        <v>249</v>
      </c>
      <c r="F35">
        <f t="shared" si="0"/>
        <v>6474</v>
      </c>
    </row>
    <row r="36" spans="1:6" x14ac:dyDescent="0.2">
      <c r="A36" s="14">
        <v>34</v>
      </c>
      <c r="B36" s="15" t="s">
        <v>72</v>
      </c>
      <c r="C36" s="15" t="s">
        <v>83</v>
      </c>
      <c r="D36" s="15">
        <v>35</v>
      </c>
      <c r="E36">
        <v>283</v>
      </c>
      <c r="F36">
        <f t="shared" si="0"/>
        <v>9905</v>
      </c>
    </row>
    <row r="37" spans="1:6" x14ac:dyDescent="0.2">
      <c r="A37" s="14">
        <v>35</v>
      </c>
      <c r="B37" s="15" t="s">
        <v>56</v>
      </c>
      <c r="C37" s="15" t="s">
        <v>82</v>
      </c>
      <c r="D37" s="15">
        <v>36</v>
      </c>
      <c r="E37">
        <v>200</v>
      </c>
      <c r="F37">
        <f t="shared" si="0"/>
        <v>7200</v>
      </c>
    </row>
    <row r="38" spans="1:6" x14ac:dyDescent="0.2">
      <c r="A38" s="14">
        <v>36</v>
      </c>
      <c r="B38" s="15" t="s">
        <v>57</v>
      </c>
      <c r="C38" s="15" t="s">
        <v>83</v>
      </c>
      <c r="D38" s="15">
        <v>29</v>
      </c>
      <c r="E38">
        <v>209</v>
      </c>
      <c r="F38">
        <f t="shared" si="0"/>
        <v>6061</v>
      </c>
    </row>
    <row r="39" spans="1:6" x14ac:dyDescent="0.2">
      <c r="A39" s="14">
        <v>37</v>
      </c>
      <c r="B39" s="15" t="s">
        <v>58</v>
      </c>
      <c r="C39" s="15" t="s">
        <v>82</v>
      </c>
      <c r="D39" s="15">
        <v>27</v>
      </c>
      <c r="E39">
        <v>279</v>
      </c>
      <c r="F39">
        <f t="shared" si="0"/>
        <v>7533</v>
      </c>
    </row>
    <row r="40" spans="1:6" x14ac:dyDescent="0.2">
      <c r="A40" s="14">
        <v>38</v>
      </c>
      <c r="B40" s="15" t="s">
        <v>59</v>
      </c>
      <c r="C40" s="15" t="s">
        <v>83</v>
      </c>
      <c r="D40" s="15">
        <v>25</v>
      </c>
      <c r="E40">
        <v>281</v>
      </c>
      <c r="F40">
        <f t="shared" si="0"/>
        <v>7025</v>
      </c>
    </row>
    <row r="41" spans="1:6" x14ac:dyDescent="0.2">
      <c r="A41" s="14">
        <v>39</v>
      </c>
      <c r="B41" s="15" t="s">
        <v>60</v>
      </c>
      <c r="C41" s="15" t="s">
        <v>82</v>
      </c>
      <c r="D41" s="15">
        <v>36</v>
      </c>
      <c r="E41">
        <v>268</v>
      </c>
      <c r="F41">
        <f t="shared" si="0"/>
        <v>9648</v>
      </c>
    </row>
    <row r="42" spans="1:6" x14ac:dyDescent="0.2">
      <c r="A42" s="14">
        <v>40</v>
      </c>
      <c r="B42" s="15" t="s">
        <v>61</v>
      </c>
      <c r="C42" s="15" t="s">
        <v>83</v>
      </c>
      <c r="D42" s="15">
        <v>37</v>
      </c>
      <c r="E42">
        <v>300</v>
      </c>
      <c r="F42">
        <f t="shared" si="0"/>
        <v>11100</v>
      </c>
    </row>
    <row r="43" spans="1:6" x14ac:dyDescent="0.2">
      <c r="A43" s="14">
        <v>41</v>
      </c>
      <c r="B43" s="15" t="s">
        <v>62</v>
      </c>
      <c r="C43" s="15" t="s">
        <v>82</v>
      </c>
      <c r="D43" s="15">
        <v>26</v>
      </c>
      <c r="E43">
        <v>274</v>
      </c>
      <c r="F43">
        <f t="shared" si="0"/>
        <v>7124</v>
      </c>
    </row>
    <row r="44" spans="1:6" x14ac:dyDescent="0.2">
      <c r="A44" s="14">
        <v>42</v>
      </c>
      <c r="B44" s="15" t="s">
        <v>63</v>
      </c>
      <c r="C44" s="15" t="s">
        <v>83</v>
      </c>
      <c r="D44" s="15">
        <v>37</v>
      </c>
      <c r="E44">
        <v>293</v>
      </c>
      <c r="F44">
        <f t="shared" si="0"/>
        <v>10841</v>
      </c>
    </row>
    <row r="45" spans="1:6" x14ac:dyDescent="0.2">
      <c r="A45" s="14">
        <v>43</v>
      </c>
      <c r="B45" s="15" t="s">
        <v>64</v>
      </c>
      <c r="C45" s="15" t="s">
        <v>82</v>
      </c>
      <c r="D45" s="15">
        <v>24</v>
      </c>
      <c r="E45">
        <v>239</v>
      </c>
      <c r="F45">
        <f t="shared" si="0"/>
        <v>5736</v>
      </c>
    </row>
    <row r="46" spans="1:6" x14ac:dyDescent="0.2">
      <c r="A46" s="14">
        <v>44</v>
      </c>
      <c r="B46" s="15" t="s">
        <v>65</v>
      </c>
      <c r="C46" s="15" t="s">
        <v>83</v>
      </c>
      <c r="D46" s="15">
        <v>39</v>
      </c>
      <c r="E46">
        <v>296</v>
      </c>
      <c r="F46">
        <f t="shared" si="0"/>
        <v>11544</v>
      </c>
    </row>
    <row r="47" spans="1:6" x14ac:dyDescent="0.2">
      <c r="A47" s="14">
        <v>45</v>
      </c>
      <c r="B47" s="15" t="s">
        <v>66</v>
      </c>
      <c r="C47" s="15" t="s">
        <v>82</v>
      </c>
      <c r="D47" s="15">
        <v>26</v>
      </c>
      <c r="E47">
        <v>277</v>
      </c>
      <c r="F47">
        <f t="shared" si="0"/>
        <v>7202</v>
      </c>
    </row>
    <row r="48" spans="1:6" x14ac:dyDescent="0.2">
      <c r="A48" s="14">
        <v>46</v>
      </c>
      <c r="B48" s="15" t="s">
        <v>67</v>
      </c>
      <c r="C48" s="15" t="s">
        <v>83</v>
      </c>
      <c r="D48" s="15">
        <v>34</v>
      </c>
      <c r="E48">
        <v>252</v>
      </c>
      <c r="F48">
        <f t="shared" si="0"/>
        <v>8568</v>
      </c>
    </row>
    <row r="49" spans="1:6" x14ac:dyDescent="0.2">
      <c r="A49" s="14">
        <v>47</v>
      </c>
      <c r="B49" s="15" t="s">
        <v>68</v>
      </c>
      <c r="C49" s="15" t="s">
        <v>82</v>
      </c>
      <c r="D49" s="15">
        <v>28</v>
      </c>
      <c r="E49">
        <v>291</v>
      </c>
      <c r="F49">
        <f t="shared" si="0"/>
        <v>8148</v>
      </c>
    </row>
    <row r="50" spans="1:6" x14ac:dyDescent="0.2">
      <c r="A50" s="14">
        <v>48</v>
      </c>
      <c r="B50" s="15" t="s">
        <v>69</v>
      </c>
      <c r="C50" s="15" t="s">
        <v>83</v>
      </c>
      <c r="D50" s="15">
        <v>32</v>
      </c>
      <c r="E50">
        <v>207</v>
      </c>
      <c r="F50">
        <f t="shared" si="0"/>
        <v>6624</v>
      </c>
    </row>
    <row r="51" spans="1:6" x14ac:dyDescent="0.2">
      <c r="A51" s="14">
        <v>49</v>
      </c>
      <c r="B51" s="15" t="s">
        <v>70</v>
      </c>
      <c r="C51" s="15" t="s">
        <v>82</v>
      </c>
      <c r="D51" s="15">
        <v>39</v>
      </c>
      <c r="E51">
        <v>211</v>
      </c>
      <c r="F51">
        <f t="shared" si="0"/>
        <v>8229</v>
      </c>
    </row>
    <row r="52" spans="1:6" x14ac:dyDescent="0.2">
      <c r="A52" s="14">
        <v>50</v>
      </c>
      <c r="B52" s="15" t="s">
        <v>71</v>
      </c>
      <c r="C52" s="15" t="s">
        <v>83</v>
      </c>
      <c r="D52" s="15">
        <v>29</v>
      </c>
      <c r="E52">
        <v>235</v>
      </c>
      <c r="F52">
        <f t="shared" si="0"/>
        <v>6815</v>
      </c>
    </row>
    <row r="53" spans="1:6" x14ac:dyDescent="0.2">
      <c r="A53" s="14">
        <v>51</v>
      </c>
      <c r="B53" s="15" t="s">
        <v>72</v>
      </c>
      <c r="C53" s="15" t="s">
        <v>82</v>
      </c>
      <c r="D53" s="15">
        <v>32</v>
      </c>
      <c r="E53">
        <v>206</v>
      </c>
      <c r="F53">
        <f t="shared" si="0"/>
        <v>6592</v>
      </c>
    </row>
    <row r="54" spans="1:6" x14ac:dyDescent="0.2">
      <c r="A54" s="14">
        <v>52</v>
      </c>
      <c r="B54" s="15" t="s">
        <v>56</v>
      </c>
      <c r="C54" s="15" t="s">
        <v>83</v>
      </c>
      <c r="D54" s="15">
        <v>25</v>
      </c>
      <c r="E54">
        <v>284</v>
      </c>
      <c r="F54">
        <f t="shared" si="0"/>
        <v>7100</v>
      </c>
    </row>
    <row r="55" spans="1:6" x14ac:dyDescent="0.2">
      <c r="A55" s="14">
        <v>53</v>
      </c>
      <c r="B55" s="15" t="s">
        <v>57</v>
      </c>
      <c r="C55" s="15" t="s">
        <v>82</v>
      </c>
      <c r="D55" s="15">
        <v>36</v>
      </c>
      <c r="E55">
        <v>298</v>
      </c>
      <c r="F55">
        <f t="shared" si="0"/>
        <v>10728</v>
      </c>
    </row>
    <row r="56" spans="1:6" x14ac:dyDescent="0.2">
      <c r="A56" s="14">
        <v>54</v>
      </c>
      <c r="B56" s="15" t="s">
        <v>58</v>
      </c>
      <c r="C56" s="15" t="s">
        <v>83</v>
      </c>
      <c r="D56" s="15">
        <v>25</v>
      </c>
      <c r="E56">
        <v>243</v>
      </c>
      <c r="F56">
        <f t="shared" si="0"/>
        <v>6075</v>
      </c>
    </row>
    <row r="57" spans="1:6" x14ac:dyDescent="0.2">
      <c r="A57" s="14">
        <v>55</v>
      </c>
      <c r="B57" s="15" t="s">
        <v>59</v>
      </c>
      <c r="C57" s="15" t="s">
        <v>82</v>
      </c>
      <c r="D57" s="15">
        <v>58</v>
      </c>
      <c r="E57">
        <v>298</v>
      </c>
      <c r="F57">
        <f t="shared" si="0"/>
        <v>17284</v>
      </c>
    </row>
    <row r="58" spans="1:6" x14ac:dyDescent="0.2">
      <c r="A58" s="14">
        <v>56</v>
      </c>
      <c r="B58" s="15" t="s">
        <v>60</v>
      </c>
      <c r="C58" s="15" t="s">
        <v>83</v>
      </c>
      <c r="D58" s="15">
        <v>24</v>
      </c>
      <c r="E58">
        <v>273</v>
      </c>
      <c r="F58">
        <f t="shared" si="0"/>
        <v>6552</v>
      </c>
    </row>
    <row r="59" spans="1:6" x14ac:dyDescent="0.2">
      <c r="A59" s="14">
        <v>57</v>
      </c>
      <c r="B59" s="15" t="s">
        <v>61</v>
      </c>
      <c r="C59" s="15" t="s">
        <v>82</v>
      </c>
      <c r="D59" s="15">
        <v>56</v>
      </c>
      <c r="E59">
        <v>236</v>
      </c>
      <c r="F59">
        <f t="shared" si="0"/>
        <v>13216</v>
      </c>
    </row>
    <row r="60" spans="1:6" x14ac:dyDescent="0.2">
      <c r="A60" s="14">
        <v>58</v>
      </c>
      <c r="B60" s="15" t="s">
        <v>62</v>
      </c>
      <c r="C60" s="15" t="s">
        <v>83</v>
      </c>
      <c r="D60" s="15">
        <v>27</v>
      </c>
      <c r="E60">
        <v>272</v>
      </c>
      <c r="F60">
        <f t="shared" si="0"/>
        <v>7344</v>
      </c>
    </row>
    <row r="61" spans="1:6" x14ac:dyDescent="0.2">
      <c r="A61" s="14">
        <v>59</v>
      </c>
      <c r="B61" s="15" t="s">
        <v>63</v>
      </c>
      <c r="C61" s="15" t="s">
        <v>82</v>
      </c>
      <c r="D61" s="15">
        <v>40</v>
      </c>
      <c r="E61">
        <v>264</v>
      </c>
      <c r="F61">
        <f t="shared" si="0"/>
        <v>10560</v>
      </c>
    </row>
    <row r="62" spans="1:6" x14ac:dyDescent="0.2">
      <c r="A62" s="14">
        <v>60</v>
      </c>
      <c r="B62" s="15" t="s">
        <v>64</v>
      </c>
      <c r="C62" s="15" t="s">
        <v>83</v>
      </c>
      <c r="D62" s="15">
        <v>28</v>
      </c>
      <c r="E62">
        <v>285</v>
      </c>
      <c r="F62">
        <f t="shared" si="0"/>
        <v>7980</v>
      </c>
    </row>
    <row r="63" spans="1:6" x14ac:dyDescent="0.2">
      <c r="A63" s="14">
        <v>61</v>
      </c>
      <c r="B63" s="15" t="s">
        <v>65</v>
      </c>
      <c r="C63" s="15" t="s">
        <v>82</v>
      </c>
      <c r="D63" s="15">
        <v>39</v>
      </c>
      <c r="E63">
        <v>235</v>
      </c>
      <c r="F63">
        <f t="shared" si="0"/>
        <v>9165</v>
      </c>
    </row>
    <row r="64" spans="1:6" x14ac:dyDescent="0.2">
      <c r="A64" s="14">
        <v>62</v>
      </c>
      <c r="B64" s="15" t="s">
        <v>66</v>
      </c>
      <c r="C64" s="15" t="s">
        <v>83</v>
      </c>
      <c r="D64" s="15">
        <v>38</v>
      </c>
      <c r="E64">
        <v>265</v>
      </c>
      <c r="F64">
        <f t="shared" si="0"/>
        <v>10070</v>
      </c>
    </row>
    <row r="65" spans="1:6" x14ac:dyDescent="0.2">
      <c r="A65" s="14">
        <v>63</v>
      </c>
      <c r="B65" s="15" t="s">
        <v>67</v>
      </c>
      <c r="C65" s="15" t="s">
        <v>82</v>
      </c>
      <c r="D65" s="15">
        <v>32</v>
      </c>
      <c r="E65">
        <v>212</v>
      </c>
      <c r="F65">
        <f t="shared" si="0"/>
        <v>6784</v>
      </c>
    </row>
    <row r="66" spans="1:6" x14ac:dyDescent="0.2">
      <c r="A66" s="14">
        <v>64</v>
      </c>
      <c r="B66" s="15" t="s">
        <v>68</v>
      </c>
      <c r="C66" s="15" t="s">
        <v>83</v>
      </c>
      <c r="D66" s="15">
        <v>26</v>
      </c>
      <c r="E66">
        <v>265</v>
      </c>
      <c r="F66">
        <f t="shared" si="0"/>
        <v>6890</v>
      </c>
    </row>
    <row r="67" spans="1:6" x14ac:dyDescent="0.2">
      <c r="A67" s="14">
        <v>65</v>
      </c>
      <c r="B67" s="15" t="s">
        <v>69</v>
      </c>
      <c r="C67" s="15" t="s">
        <v>82</v>
      </c>
      <c r="D67" s="15">
        <v>31</v>
      </c>
      <c r="E67">
        <v>285</v>
      </c>
      <c r="F67">
        <f t="shared" si="0"/>
        <v>8835</v>
      </c>
    </row>
    <row r="68" spans="1:6" x14ac:dyDescent="0.2">
      <c r="A68" s="14">
        <v>66</v>
      </c>
      <c r="B68" s="15" t="s">
        <v>70</v>
      </c>
      <c r="C68" s="15" t="s">
        <v>83</v>
      </c>
      <c r="D68" s="15">
        <v>24</v>
      </c>
      <c r="E68">
        <v>266</v>
      </c>
      <c r="F68">
        <f t="shared" ref="F68:F102" si="1">D68*E68</f>
        <v>6384</v>
      </c>
    </row>
    <row r="69" spans="1:6" x14ac:dyDescent="0.2">
      <c r="A69" s="14">
        <v>67</v>
      </c>
      <c r="B69" s="15" t="s">
        <v>71</v>
      </c>
      <c r="C69" s="15" t="s">
        <v>82</v>
      </c>
      <c r="D69" s="15">
        <v>39</v>
      </c>
      <c r="E69">
        <v>266</v>
      </c>
      <c r="F69">
        <f t="shared" si="1"/>
        <v>10374</v>
      </c>
    </row>
    <row r="70" spans="1:6" x14ac:dyDescent="0.2">
      <c r="A70" s="14">
        <v>68</v>
      </c>
      <c r="B70" s="15" t="s">
        <v>72</v>
      </c>
      <c r="C70" s="15" t="s">
        <v>83</v>
      </c>
      <c r="D70" s="15">
        <v>28</v>
      </c>
      <c r="E70">
        <v>241</v>
      </c>
      <c r="F70">
        <f t="shared" si="1"/>
        <v>6748</v>
      </c>
    </row>
    <row r="71" spans="1:6" x14ac:dyDescent="0.2">
      <c r="A71" s="14">
        <v>69</v>
      </c>
      <c r="B71" s="15" t="s">
        <v>56</v>
      </c>
      <c r="C71" s="15" t="s">
        <v>82</v>
      </c>
      <c r="D71" s="15">
        <v>26</v>
      </c>
      <c r="E71">
        <v>287</v>
      </c>
      <c r="F71">
        <f t="shared" si="1"/>
        <v>7462</v>
      </c>
    </row>
    <row r="72" spans="1:6" x14ac:dyDescent="0.2">
      <c r="A72" s="14">
        <v>70</v>
      </c>
      <c r="B72" s="15" t="s">
        <v>57</v>
      </c>
      <c r="C72" s="15" t="s">
        <v>83</v>
      </c>
      <c r="D72" s="15">
        <v>46</v>
      </c>
      <c r="E72">
        <v>260</v>
      </c>
      <c r="F72">
        <f t="shared" si="1"/>
        <v>11960</v>
      </c>
    </row>
    <row r="73" spans="1:6" x14ac:dyDescent="0.2">
      <c r="A73" s="14">
        <v>71</v>
      </c>
      <c r="B73" s="15" t="s">
        <v>58</v>
      </c>
      <c r="C73" s="15" t="s">
        <v>82</v>
      </c>
      <c r="D73" s="15">
        <v>37</v>
      </c>
      <c r="E73">
        <v>261</v>
      </c>
      <c r="F73">
        <f t="shared" si="1"/>
        <v>9657</v>
      </c>
    </row>
    <row r="74" spans="1:6" x14ac:dyDescent="0.2">
      <c r="A74" s="14">
        <v>72</v>
      </c>
      <c r="B74" s="15" t="s">
        <v>59</v>
      </c>
      <c r="C74" s="15" t="s">
        <v>83</v>
      </c>
      <c r="D74" s="15">
        <v>52</v>
      </c>
      <c r="E74">
        <v>293</v>
      </c>
      <c r="F74">
        <f t="shared" si="1"/>
        <v>15236</v>
      </c>
    </row>
    <row r="75" spans="1:6" x14ac:dyDescent="0.2">
      <c r="A75" s="14">
        <v>73</v>
      </c>
      <c r="B75" s="15" t="s">
        <v>60</v>
      </c>
      <c r="C75" s="15" t="s">
        <v>82</v>
      </c>
      <c r="D75" s="15">
        <v>46</v>
      </c>
      <c r="E75">
        <v>213</v>
      </c>
      <c r="F75">
        <f t="shared" si="1"/>
        <v>9798</v>
      </c>
    </row>
    <row r="76" spans="1:6" x14ac:dyDescent="0.2">
      <c r="A76" s="14">
        <v>74</v>
      </c>
      <c r="B76" s="15" t="s">
        <v>61</v>
      </c>
      <c r="C76" s="15" t="s">
        <v>83</v>
      </c>
      <c r="D76" s="15">
        <v>42</v>
      </c>
      <c r="E76">
        <v>297</v>
      </c>
      <c r="F76">
        <f t="shared" si="1"/>
        <v>12474</v>
      </c>
    </row>
    <row r="77" spans="1:6" x14ac:dyDescent="0.2">
      <c r="A77" s="14">
        <v>75</v>
      </c>
      <c r="B77" s="15" t="s">
        <v>62</v>
      </c>
      <c r="C77" s="15" t="s">
        <v>82</v>
      </c>
      <c r="D77" s="15">
        <v>21</v>
      </c>
      <c r="E77">
        <v>213</v>
      </c>
      <c r="F77">
        <f t="shared" si="1"/>
        <v>4473</v>
      </c>
    </row>
    <row r="78" spans="1:6" x14ac:dyDescent="0.2">
      <c r="A78" s="14">
        <v>76</v>
      </c>
      <c r="B78" s="15" t="s">
        <v>63</v>
      </c>
      <c r="C78" s="15" t="s">
        <v>83</v>
      </c>
      <c r="D78" s="15">
        <v>28</v>
      </c>
      <c r="E78">
        <v>213</v>
      </c>
      <c r="F78">
        <f t="shared" si="1"/>
        <v>5964</v>
      </c>
    </row>
    <row r="79" spans="1:6" x14ac:dyDescent="0.2">
      <c r="A79" s="14">
        <v>77</v>
      </c>
      <c r="B79" s="15" t="s">
        <v>64</v>
      </c>
      <c r="C79" s="15" t="s">
        <v>82</v>
      </c>
      <c r="D79" s="15">
        <v>29</v>
      </c>
      <c r="E79">
        <v>280</v>
      </c>
      <c r="F79">
        <f t="shared" si="1"/>
        <v>8120</v>
      </c>
    </row>
    <row r="80" spans="1:6" x14ac:dyDescent="0.2">
      <c r="A80" s="14">
        <v>78</v>
      </c>
      <c r="B80" s="15" t="s">
        <v>65</v>
      </c>
      <c r="C80" s="15" t="s">
        <v>83</v>
      </c>
      <c r="D80" s="15">
        <v>23</v>
      </c>
      <c r="E80">
        <v>235</v>
      </c>
      <c r="F80">
        <f t="shared" si="1"/>
        <v>5405</v>
      </c>
    </row>
    <row r="81" spans="1:6" x14ac:dyDescent="0.2">
      <c r="A81" s="14">
        <v>79</v>
      </c>
      <c r="B81" s="15" t="s">
        <v>66</v>
      </c>
      <c r="C81" s="15" t="s">
        <v>82</v>
      </c>
      <c r="D81" s="15">
        <v>41</v>
      </c>
      <c r="E81">
        <v>265</v>
      </c>
      <c r="F81">
        <f t="shared" si="1"/>
        <v>10865</v>
      </c>
    </row>
    <row r="82" spans="1:6" x14ac:dyDescent="0.2">
      <c r="A82" s="14">
        <v>80</v>
      </c>
      <c r="B82" s="15" t="s">
        <v>67</v>
      </c>
      <c r="C82" s="15" t="s">
        <v>83</v>
      </c>
      <c r="D82" s="15">
        <v>28</v>
      </c>
      <c r="E82">
        <v>251</v>
      </c>
      <c r="F82">
        <f t="shared" si="1"/>
        <v>7028</v>
      </c>
    </row>
    <row r="83" spans="1:6" x14ac:dyDescent="0.2">
      <c r="A83" s="14">
        <v>81</v>
      </c>
      <c r="B83" s="15" t="s">
        <v>68</v>
      </c>
      <c r="C83" s="15" t="s">
        <v>82</v>
      </c>
      <c r="D83" s="15">
        <v>37</v>
      </c>
      <c r="E83">
        <v>283</v>
      </c>
      <c r="F83">
        <f t="shared" si="1"/>
        <v>10471</v>
      </c>
    </row>
    <row r="84" spans="1:6" x14ac:dyDescent="0.2">
      <c r="A84" s="14">
        <v>82</v>
      </c>
      <c r="B84" s="15" t="s">
        <v>69</v>
      </c>
      <c r="C84" s="15" t="s">
        <v>83</v>
      </c>
      <c r="D84" s="15">
        <v>34</v>
      </c>
      <c r="E84">
        <v>262</v>
      </c>
      <c r="F84">
        <f t="shared" si="1"/>
        <v>8908</v>
      </c>
    </row>
    <row r="85" spans="1:6" x14ac:dyDescent="0.2">
      <c r="A85" s="14">
        <v>83</v>
      </c>
      <c r="B85" s="15" t="s">
        <v>70</v>
      </c>
      <c r="C85" s="15" t="s">
        <v>82</v>
      </c>
      <c r="D85" s="15">
        <v>26</v>
      </c>
      <c r="E85">
        <v>267</v>
      </c>
      <c r="F85">
        <f t="shared" si="1"/>
        <v>6942</v>
      </c>
    </row>
    <row r="86" spans="1:6" x14ac:dyDescent="0.2">
      <c r="A86" s="14">
        <v>84</v>
      </c>
      <c r="B86" s="15" t="s">
        <v>71</v>
      </c>
      <c r="C86" s="15" t="s">
        <v>83</v>
      </c>
      <c r="D86" s="15">
        <v>35</v>
      </c>
      <c r="E86">
        <v>300</v>
      </c>
      <c r="F86">
        <f t="shared" si="1"/>
        <v>10500</v>
      </c>
    </row>
    <row r="87" spans="1:6" x14ac:dyDescent="0.2">
      <c r="A87" s="14">
        <v>85</v>
      </c>
      <c r="B87" s="15" t="s">
        <v>72</v>
      </c>
      <c r="C87" s="15" t="s">
        <v>82</v>
      </c>
      <c r="D87" s="15">
        <v>36</v>
      </c>
      <c r="E87">
        <v>269</v>
      </c>
      <c r="F87">
        <f t="shared" si="1"/>
        <v>9684</v>
      </c>
    </row>
    <row r="88" spans="1:6" x14ac:dyDescent="0.2">
      <c r="A88" s="14">
        <v>86</v>
      </c>
      <c r="B88" s="15" t="s">
        <v>56</v>
      </c>
      <c r="C88" s="15" t="s">
        <v>83</v>
      </c>
      <c r="D88" s="15">
        <v>29</v>
      </c>
      <c r="E88">
        <v>257</v>
      </c>
      <c r="F88">
        <f t="shared" si="1"/>
        <v>7453</v>
      </c>
    </row>
    <row r="89" spans="1:6" x14ac:dyDescent="0.2">
      <c r="A89" s="14">
        <v>87</v>
      </c>
      <c r="B89" s="15" t="s">
        <v>57</v>
      </c>
      <c r="C89" s="15" t="s">
        <v>82</v>
      </c>
      <c r="D89" s="15">
        <v>27</v>
      </c>
      <c r="E89">
        <v>294</v>
      </c>
      <c r="F89">
        <f t="shared" si="1"/>
        <v>7938</v>
      </c>
    </row>
    <row r="90" spans="1:6" x14ac:dyDescent="0.2">
      <c r="A90" s="14">
        <v>88</v>
      </c>
      <c r="B90" s="15" t="s">
        <v>58</v>
      </c>
      <c r="C90" s="15" t="s">
        <v>83</v>
      </c>
      <c r="D90" s="15">
        <v>25</v>
      </c>
      <c r="E90">
        <v>273</v>
      </c>
      <c r="F90">
        <f t="shared" si="1"/>
        <v>6825</v>
      </c>
    </row>
    <row r="91" spans="1:6" x14ac:dyDescent="0.2">
      <c r="A91" s="14">
        <v>89</v>
      </c>
      <c r="B91" s="15" t="s">
        <v>59</v>
      </c>
      <c r="C91" s="15" t="s">
        <v>82</v>
      </c>
      <c r="D91" s="15">
        <v>36</v>
      </c>
      <c r="E91">
        <v>272</v>
      </c>
      <c r="F91">
        <f t="shared" si="1"/>
        <v>9792</v>
      </c>
    </row>
    <row r="92" spans="1:6" x14ac:dyDescent="0.2">
      <c r="A92" s="14">
        <v>90</v>
      </c>
      <c r="B92" s="15" t="s">
        <v>60</v>
      </c>
      <c r="C92" s="15" t="s">
        <v>83</v>
      </c>
      <c r="D92" s="15">
        <v>37</v>
      </c>
      <c r="E92">
        <v>227</v>
      </c>
      <c r="F92">
        <f t="shared" si="1"/>
        <v>8399</v>
      </c>
    </row>
    <row r="93" spans="1:6" x14ac:dyDescent="0.2">
      <c r="A93" s="14">
        <v>91</v>
      </c>
      <c r="B93" s="15" t="s">
        <v>61</v>
      </c>
      <c r="C93" s="15" t="s">
        <v>82</v>
      </c>
      <c r="D93" s="15">
        <v>26</v>
      </c>
      <c r="E93">
        <v>239</v>
      </c>
      <c r="F93">
        <f t="shared" si="1"/>
        <v>6214</v>
      </c>
    </row>
    <row r="94" spans="1:6" x14ac:dyDescent="0.2">
      <c r="A94" s="14">
        <v>92</v>
      </c>
      <c r="B94" s="15" t="s">
        <v>62</v>
      </c>
      <c r="C94" s="15" t="s">
        <v>83</v>
      </c>
      <c r="D94" s="15">
        <v>37</v>
      </c>
      <c r="E94">
        <v>289</v>
      </c>
      <c r="F94">
        <f t="shared" si="1"/>
        <v>10693</v>
      </c>
    </row>
    <row r="95" spans="1:6" x14ac:dyDescent="0.2">
      <c r="A95" s="14">
        <v>93</v>
      </c>
      <c r="B95" s="15" t="s">
        <v>63</v>
      </c>
      <c r="C95" s="15" t="s">
        <v>82</v>
      </c>
      <c r="D95" s="15">
        <v>24</v>
      </c>
      <c r="E95">
        <v>205</v>
      </c>
      <c r="F95">
        <f t="shared" si="1"/>
        <v>4920</v>
      </c>
    </row>
    <row r="96" spans="1:6" x14ac:dyDescent="0.2">
      <c r="A96" s="14">
        <v>94</v>
      </c>
      <c r="B96" s="15" t="s">
        <v>64</v>
      </c>
      <c r="C96" s="15" t="s">
        <v>83</v>
      </c>
      <c r="D96" s="15">
        <v>39</v>
      </c>
      <c r="E96">
        <v>235</v>
      </c>
      <c r="F96">
        <f t="shared" si="1"/>
        <v>9165</v>
      </c>
    </row>
    <row r="97" spans="1:6" x14ac:dyDescent="0.2">
      <c r="A97" s="14">
        <v>95</v>
      </c>
      <c r="B97" s="15" t="s">
        <v>65</v>
      </c>
      <c r="C97" s="15" t="s">
        <v>82</v>
      </c>
      <c r="D97" s="15">
        <v>26</v>
      </c>
      <c r="E97">
        <v>216</v>
      </c>
      <c r="F97">
        <f t="shared" si="1"/>
        <v>5616</v>
      </c>
    </row>
    <row r="98" spans="1:6" x14ac:dyDescent="0.2">
      <c r="A98" s="14">
        <v>96</v>
      </c>
      <c r="B98" s="15" t="s">
        <v>66</v>
      </c>
      <c r="C98" s="15" t="s">
        <v>83</v>
      </c>
      <c r="D98" s="15">
        <v>34</v>
      </c>
      <c r="E98">
        <v>283</v>
      </c>
      <c r="F98">
        <f t="shared" si="1"/>
        <v>9622</v>
      </c>
    </row>
    <row r="99" spans="1:6" x14ac:dyDescent="0.2">
      <c r="A99" s="14">
        <v>97</v>
      </c>
      <c r="B99" s="15" t="s">
        <v>67</v>
      </c>
      <c r="C99" s="15" t="s">
        <v>82</v>
      </c>
      <c r="D99" s="15">
        <v>28</v>
      </c>
      <c r="E99">
        <v>257</v>
      </c>
      <c r="F99">
        <f t="shared" si="1"/>
        <v>7196</v>
      </c>
    </row>
    <row r="100" spans="1:6" x14ac:dyDescent="0.2">
      <c r="A100" s="14">
        <v>98</v>
      </c>
      <c r="B100" s="15" t="s">
        <v>68</v>
      </c>
      <c r="C100" s="15" t="s">
        <v>83</v>
      </c>
      <c r="D100" s="15">
        <v>32</v>
      </c>
      <c r="E100">
        <v>209</v>
      </c>
      <c r="F100">
        <f t="shared" si="1"/>
        <v>6688</v>
      </c>
    </row>
    <row r="101" spans="1:6" x14ac:dyDescent="0.2">
      <c r="A101" s="14">
        <v>99</v>
      </c>
      <c r="B101" s="15" t="s">
        <v>69</v>
      </c>
      <c r="C101" s="15" t="s">
        <v>82</v>
      </c>
      <c r="D101" s="15">
        <v>39</v>
      </c>
      <c r="E101">
        <v>209</v>
      </c>
      <c r="F101">
        <f t="shared" si="1"/>
        <v>8151</v>
      </c>
    </row>
    <row r="102" spans="1:6" x14ac:dyDescent="0.2">
      <c r="A102" s="14">
        <v>100</v>
      </c>
      <c r="B102" s="15" t="s">
        <v>70</v>
      </c>
      <c r="C102" s="15" t="s">
        <v>83</v>
      </c>
      <c r="D102" s="15">
        <v>29</v>
      </c>
      <c r="E102">
        <v>253</v>
      </c>
      <c r="F102">
        <f t="shared" si="1"/>
        <v>7337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31</vt:i4>
      </vt:variant>
    </vt:vector>
  </HeadingPairs>
  <TitlesOfParts>
    <vt:vector size="56" baseType="lpstr">
      <vt:lpstr>Sheet2</vt:lpstr>
      <vt:lpstr>PART 38</vt:lpstr>
      <vt:lpstr>PART 39</vt:lpstr>
      <vt:lpstr>PART 40</vt:lpstr>
      <vt:lpstr>PART 41</vt:lpstr>
      <vt:lpstr>PART 42</vt:lpstr>
      <vt:lpstr>PART 43</vt:lpstr>
      <vt:lpstr>PART 44</vt:lpstr>
      <vt:lpstr>PART 45</vt:lpstr>
      <vt:lpstr>PART 46</vt:lpstr>
      <vt:lpstr>PART 47</vt:lpstr>
      <vt:lpstr>PART 48</vt:lpstr>
      <vt:lpstr>PART 49</vt:lpstr>
      <vt:lpstr>PART50</vt:lpstr>
      <vt:lpstr>PART51</vt:lpstr>
      <vt:lpstr>PART52</vt:lpstr>
      <vt:lpstr>PART53</vt:lpstr>
      <vt:lpstr>PART54</vt:lpstr>
      <vt:lpstr>PART55</vt:lpstr>
      <vt:lpstr>PART 56</vt:lpstr>
      <vt:lpstr>PART57</vt:lpstr>
      <vt:lpstr>PART58</vt:lpstr>
      <vt:lpstr>PART59</vt:lpstr>
      <vt:lpstr>PART 60</vt:lpstr>
      <vt:lpstr>Sheet9</vt:lpstr>
      <vt:lpstr>PART54!Data_in_Text_file</vt:lpstr>
      <vt:lpstr>PART53!Desg</vt:lpstr>
      <vt:lpstr>PART55!Desg</vt:lpstr>
      <vt:lpstr>PART57!Desg</vt:lpstr>
      <vt:lpstr>PART58!Desg</vt:lpstr>
      <vt:lpstr>PART59!Desg</vt:lpstr>
      <vt:lpstr>Desg</vt:lpstr>
      <vt:lpstr>PART54!india_population_1</vt:lpstr>
      <vt:lpstr>PART50!Print_Titles</vt:lpstr>
      <vt:lpstr>PART51!Print_Titles</vt:lpstr>
      <vt:lpstr>PART52!Print_Titles</vt:lpstr>
      <vt:lpstr>PART53!Print_Titles</vt:lpstr>
      <vt:lpstr>PART54!Print_Titles</vt:lpstr>
      <vt:lpstr>PART55!Print_Titles</vt:lpstr>
      <vt:lpstr>PART57!Print_Titles</vt:lpstr>
      <vt:lpstr>PART58!Print_Titles</vt:lpstr>
      <vt:lpstr>PART59!Print_Titles</vt:lpstr>
      <vt:lpstr>PART53!T_Col</vt:lpstr>
      <vt:lpstr>PART54!T_Col</vt:lpstr>
      <vt:lpstr>PART55!T_Col</vt:lpstr>
      <vt:lpstr>PART57!T_Col</vt:lpstr>
      <vt:lpstr>PART58!T_Col</vt:lpstr>
      <vt:lpstr>PART59!T_Col</vt:lpstr>
      <vt:lpstr>T_Col</vt:lpstr>
      <vt:lpstr>PART53!W_Details</vt:lpstr>
      <vt:lpstr>PART54!W_Details</vt:lpstr>
      <vt:lpstr>PART55!W_Details</vt:lpstr>
      <vt:lpstr>PART57!W_Details</vt:lpstr>
      <vt:lpstr>PART58!W_Details</vt:lpstr>
      <vt:lpstr>PART59!W_Details</vt:lpstr>
      <vt:lpstr>W_Details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Asif Sir</dc:creator>
  <cp:lastModifiedBy>Asif Sir</cp:lastModifiedBy>
  <cp:lastPrinted>2020-04-26T06:04:52Z</cp:lastPrinted>
  <dcterms:created xsi:type="dcterms:W3CDTF">2020-04-20T06:39:48Z</dcterms:created>
  <dcterms:modified xsi:type="dcterms:W3CDTF">2020-04-26T07:38:50Z</dcterms:modified>
</cp:coreProperties>
</file>