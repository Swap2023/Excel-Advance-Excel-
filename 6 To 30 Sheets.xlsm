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RAM\Documents\EXCEL TUTORIALS\"/>
    </mc:Choice>
  </mc:AlternateContent>
  <bookViews>
    <workbookView xWindow="0" yWindow="0" windowWidth="20490" windowHeight="7455" tabRatio="988" firstSheet="20" activeTab="32"/>
  </bookViews>
  <sheets>
    <sheet name="PART 6" sheetId="1" r:id="rId1"/>
    <sheet name="PART 7" sheetId="2" r:id="rId2"/>
    <sheet name="PART 8" sheetId="3" r:id="rId3"/>
    <sheet name="PART 9" sheetId="4" r:id="rId4"/>
    <sheet name="PART 10" sheetId="6" r:id="rId5"/>
    <sheet name="PART11" sheetId="7" r:id="rId6"/>
    <sheet name="PART 12" sheetId="9" r:id="rId7"/>
    <sheet name="PART 13" sheetId="8" r:id="rId8"/>
    <sheet name="PART 14" sheetId="10" r:id="rId9"/>
    <sheet name="PART15" sheetId="11" r:id="rId10"/>
    <sheet name="PART15 DEMO" sheetId="12" r:id="rId11"/>
    <sheet name="PART 16" sheetId="13" r:id="rId12"/>
    <sheet name="PART -17" sheetId="15" r:id="rId13"/>
    <sheet name="PART-18" sheetId="14" r:id="rId14"/>
    <sheet name="PART -19" sheetId="16" r:id="rId15"/>
    <sheet name="PART-20" sheetId="17" r:id="rId16"/>
    <sheet name="PART 20-1" sheetId="18" r:id="rId17"/>
    <sheet name="PART 20-2" sheetId="19" r:id="rId18"/>
    <sheet name="PART 20-3" sheetId="20" r:id="rId19"/>
    <sheet name="PART 21 " sheetId="21" r:id="rId20"/>
    <sheet name="PART 22" sheetId="22" r:id="rId21"/>
    <sheet name="Scenario Summary" sheetId="26" r:id="rId22"/>
    <sheet name="PART 23" sheetId="23" r:id="rId23"/>
    <sheet name="PART 24" sheetId="24" r:id="rId24"/>
    <sheet name="PART 25" sheetId="25" r:id="rId25"/>
    <sheet name="PART 26" sheetId="27" r:id="rId26"/>
    <sheet name="PART 27" sheetId="28" r:id="rId27"/>
    <sheet name="PART 28" sheetId="29" r:id="rId28"/>
    <sheet name="PART 29" sheetId="32" r:id="rId29"/>
    <sheet name="PART 30" sheetId="33" r:id="rId30"/>
    <sheet name="PART 31" sheetId="34" r:id="rId31"/>
    <sheet name="PART 32" sheetId="35" r:id="rId32"/>
    <sheet name="PART 33" sheetId="37" r:id="rId33"/>
  </sheets>
  <externalReferences>
    <externalReference r:id="rId34"/>
    <externalReference r:id="rId35"/>
  </externalReferences>
  <definedNames>
    <definedName name="_xlnm._FilterDatabase" localSheetId="7" hidden="1">'PART 13'!$A$1:$E$13</definedName>
    <definedName name="_xlnm._FilterDatabase" localSheetId="8" hidden="1">'PART 14'!$A$1:$E$13</definedName>
    <definedName name="_xlnm._FilterDatabase" localSheetId="11" hidden="1">'PART 16'!$A$1:$E$13</definedName>
    <definedName name="_xlnm._FilterDatabase" localSheetId="5" hidden="1">PART11!$A$1:$E$13</definedName>
    <definedName name="_xlnm._FilterDatabase" localSheetId="9" hidden="1">PART15!$A$1:$E$13</definedName>
    <definedName name="A" localSheetId="31">'[1]Pivot Table Data'!#REF!</definedName>
    <definedName name="A" localSheetId="32">'[1]Pivot Table Data'!#REF!</definedName>
    <definedName name="A">'[1]Pivot Table Data'!#REF!</definedName>
    <definedName name="_xlnm.Criteria" localSheetId="11">'PART 16'!$G$1:$G$2</definedName>
    <definedName name="D">'[1]Pivot Table Data'!#REF!</definedName>
    <definedName name="DF" localSheetId="31">'[1]Pivot Table Data'!#REF!</definedName>
    <definedName name="DF" localSheetId="32">'[1]Pivot Table Data'!#REF!</definedName>
    <definedName name="DF">'[1]Pivot Table Data'!#REF!</definedName>
    <definedName name="_xlnm.Extract" localSheetId="10">'PART15 DEMO'!$A$1:$E$1</definedName>
    <definedName name="LIST1" localSheetId="23">'[1]VLOOKUP 1'!$A$1:$E$18</definedName>
    <definedName name="LIST1" localSheetId="24">'[1]VLOOKUP 1'!$A$1:$E$18</definedName>
    <definedName name="LIST1">[2]VLOOKUP!$A:$E</definedName>
    <definedName name="list2" localSheetId="31">'[1]Pivot Table Data'!#REF!</definedName>
    <definedName name="list2" localSheetId="32">'[1]Pivot Table Data'!#REF!</definedName>
    <definedName name="list2">'[1]Pivot Table Data'!#REF!</definedName>
    <definedName name="list3" localSheetId="27">'[1]Pivot Table Data'!#REF!</definedName>
    <definedName name="list3" localSheetId="31">'[1]Pivot Table Data'!#REF!</definedName>
    <definedName name="list3" localSheetId="32">'[1]Pivot Table Data'!#REF!</definedName>
    <definedName name="list3">'[1]Pivot Table Data'!#REF!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3" i="32" l="1"/>
  <c r="F12" i="32"/>
  <c r="F11" i="32"/>
  <c r="F10" i="32"/>
  <c r="F8" i="32"/>
  <c r="F7" i="32"/>
  <c r="F6" i="32"/>
  <c r="F5" i="32"/>
  <c r="F3" i="32"/>
  <c r="F2" i="32"/>
  <c r="D24" i="28"/>
  <c r="D15" i="28"/>
  <c r="D16" i="28"/>
  <c r="D17" i="28"/>
  <c r="D18" i="28"/>
  <c r="D19" i="28"/>
  <c r="D20" i="28"/>
  <c r="D21" i="28"/>
  <c r="D22" i="28"/>
  <c r="D23" i="28"/>
  <c r="D5" i="25" l="1"/>
  <c r="B5" i="24"/>
  <c r="G6" i="24"/>
  <c r="B15" i="17" l="1"/>
  <c r="B16" i="17"/>
  <c r="B17" i="17"/>
  <c r="B19" i="17"/>
  <c r="B22" i="17" s="1"/>
  <c r="B20" i="17"/>
  <c r="B21" i="17"/>
  <c r="B23" i="17"/>
  <c r="B24" i="17"/>
  <c r="B25" i="17"/>
  <c r="B27" i="17"/>
  <c r="B30" i="17" s="1"/>
  <c r="B28" i="17"/>
  <c r="B29" i="17"/>
  <c r="B31" i="17"/>
  <c r="B34" i="17" s="1"/>
  <c r="B32" i="17"/>
  <c r="B33" i="17"/>
  <c r="B35" i="17"/>
  <c r="B38" i="17" s="1"/>
  <c r="B36" i="17"/>
  <c r="B37" i="17"/>
  <c r="B39" i="17"/>
  <c r="B42" i="17" s="1"/>
  <c r="B40" i="17"/>
  <c r="B41" i="17"/>
  <c r="B43" i="17"/>
  <c r="B46" i="17" s="1"/>
  <c r="B44" i="17"/>
  <c r="B45" i="17"/>
  <c r="B47" i="17"/>
  <c r="B50" i="17" s="1"/>
  <c r="B48" i="17"/>
  <c r="B49" i="17"/>
  <c r="B26" i="17" l="1"/>
  <c r="B18" i="17"/>
  <c r="E13" i="13"/>
  <c r="E12" i="13"/>
  <c r="E11" i="13"/>
  <c r="E10" i="13"/>
  <c r="E8" i="13"/>
  <c r="E7" i="13"/>
  <c r="E6" i="13"/>
  <c r="E5" i="13"/>
  <c r="E3" i="13"/>
  <c r="E2" i="13"/>
  <c r="E3" i="11"/>
  <c r="E8" i="11"/>
  <c r="E11" i="11"/>
  <c r="E2" i="11"/>
  <c r="E5" i="11"/>
  <c r="E7" i="11"/>
  <c r="E10" i="11"/>
  <c r="E6" i="11"/>
  <c r="E12" i="11"/>
  <c r="E13" i="11"/>
  <c r="G3" i="10"/>
  <c r="G4" i="10"/>
  <c r="G5" i="10"/>
  <c r="G6" i="10"/>
  <c r="G7" i="10"/>
  <c r="G8" i="10"/>
  <c r="G9" i="10"/>
  <c r="G10" i="10"/>
  <c r="G11" i="10"/>
  <c r="G12" i="10"/>
  <c r="G13" i="10"/>
  <c r="G2" i="10"/>
  <c r="E13" i="10"/>
  <c r="E12" i="10"/>
  <c r="E11" i="10"/>
  <c r="E10" i="10"/>
  <c r="E9" i="10"/>
  <c r="E8" i="10"/>
  <c r="E7" i="10"/>
  <c r="E6" i="10"/>
  <c r="E5" i="10"/>
  <c r="E4" i="10"/>
  <c r="E3" i="10"/>
  <c r="E2" i="10"/>
  <c r="F2" i="9" l="1"/>
  <c r="G2" i="9"/>
  <c r="H2" i="9"/>
  <c r="I2" i="9"/>
  <c r="J2" i="9"/>
  <c r="K2" i="9"/>
  <c r="L2" i="9"/>
  <c r="M2" i="9"/>
  <c r="N2" i="9" s="1"/>
  <c r="F3" i="9"/>
  <c r="G3" i="9"/>
  <c r="H3" i="9"/>
  <c r="I3" i="9"/>
  <c r="J3" i="9"/>
  <c r="K3" i="9"/>
  <c r="L3" i="9"/>
  <c r="M3" i="9"/>
  <c r="F4" i="9"/>
  <c r="G4" i="9"/>
  <c r="H4" i="9"/>
  <c r="I4" i="9"/>
  <c r="J4" i="9"/>
  <c r="K4" i="9"/>
  <c r="L4" i="9"/>
  <c r="M4" i="9"/>
  <c r="N4" i="9" s="1"/>
  <c r="F5" i="9"/>
  <c r="K5" i="9" s="1"/>
  <c r="G5" i="9"/>
  <c r="H5" i="9"/>
  <c r="I5" i="9"/>
  <c r="J5" i="9"/>
  <c r="L5" i="9"/>
  <c r="M5" i="9"/>
  <c r="F6" i="9"/>
  <c r="G6" i="9"/>
  <c r="H6" i="9"/>
  <c r="I6" i="9"/>
  <c r="J6" i="9"/>
  <c r="K6" i="9"/>
  <c r="L6" i="9"/>
  <c r="M6" i="9"/>
  <c r="N6" i="9" s="1"/>
  <c r="O11" i="9"/>
  <c r="P11" i="9"/>
  <c r="E12" i="9"/>
  <c r="F12" i="9"/>
  <c r="O12" i="9"/>
  <c r="P12" i="9"/>
  <c r="E13" i="9"/>
  <c r="F13" i="9"/>
  <c r="O13" i="9"/>
  <c r="P13" i="9"/>
  <c r="E14" i="9"/>
  <c r="F14" i="9"/>
  <c r="O14" i="9"/>
  <c r="P14" i="9"/>
  <c r="E15" i="9"/>
  <c r="F15" i="9"/>
  <c r="O15" i="9"/>
  <c r="P15" i="9"/>
  <c r="E16" i="9"/>
  <c r="F16" i="9"/>
  <c r="O16" i="9"/>
  <c r="P16" i="9"/>
  <c r="N5" i="9" l="1"/>
  <c r="N3" i="9"/>
  <c r="E13" i="8"/>
  <c r="E12" i="8"/>
  <c r="E6" i="8"/>
  <c r="E10" i="8"/>
  <c r="E9" i="8"/>
  <c r="E4" i="8"/>
  <c r="E7" i="8"/>
  <c r="E5" i="8"/>
  <c r="E2" i="8"/>
  <c r="E11" i="8"/>
  <c r="E8" i="8"/>
  <c r="E3" i="8"/>
  <c r="E5" i="7"/>
  <c r="E10" i="7"/>
  <c r="E4" i="7"/>
  <c r="E11" i="7"/>
  <c r="E6" i="7"/>
  <c r="E9" i="7"/>
  <c r="E3" i="7"/>
  <c r="E12" i="7"/>
  <c r="E7" i="7"/>
  <c r="E8" i="7"/>
  <c r="E2" i="7"/>
  <c r="E13" i="7"/>
  <c r="G3" i="3" l="1"/>
  <c r="G4" i="3"/>
  <c r="G5" i="3"/>
  <c r="G6" i="3"/>
  <c r="G2" i="3"/>
  <c r="AL5" i="6"/>
  <c r="AL6" i="6"/>
  <c r="AL7" i="6"/>
  <c r="AL8" i="6"/>
  <c r="AL4" i="6"/>
  <c r="AK5" i="6"/>
  <c r="AK6" i="6"/>
  <c r="AK7" i="6"/>
  <c r="AK8" i="6"/>
  <c r="AK4" i="6"/>
  <c r="AJ5" i="6"/>
  <c r="AJ6" i="6"/>
  <c r="AJ7" i="6"/>
  <c r="AJ8" i="6"/>
  <c r="AJ4" i="6"/>
  <c r="AI5" i="6"/>
  <c r="AI6" i="6"/>
  <c r="AI7" i="6"/>
  <c r="AI8" i="6"/>
  <c r="AI4" i="6"/>
  <c r="AH5" i="6"/>
  <c r="AH6" i="6"/>
  <c r="AM6" i="6" s="1"/>
  <c r="F4" i="3" s="1"/>
  <c r="AH7" i="6"/>
  <c r="AM7" i="6" s="1"/>
  <c r="F5" i="3" s="1"/>
  <c r="AH8" i="6"/>
  <c r="AM8" i="6" s="1"/>
  <c r="F6" i="3" s="1"/>
  <c r="AH4" i="6"/>
  <c r="AG2" i="6"/>
  <c r="AF2" i="6"/>
  <c r="AE2" i="6"/>
  <c r="AD2" i="6"/>
  <c r="AC2" i="6"/>
  <c r="AB2" i="6"/>
  <c r="AA2" i="6"/>
  <c r="Z2" i="6"/>
  <c r="Y2" i="6"/>
  <c r="X2" i="6"/>
  <c r="W2" i="6"/>
  <c r="V2" i="6"/>
  <c r="U2" i="6"/>
  <c r="T2" i="6"/>
  <c r="S2" i="6"/>
  <c r="R2" i="6"/>
  <c r="Q2" i="6"/>
  <c r="P2" i="6"/>
  <c r="O2" i="6"/>
  <c r="N2" i="6"/>
  <c r="M2" i="6"/>
  <c r="L2" i="6"/>
  <c r="K2" i="6"/>
  <c r="J2" i="6"/>
  <c r="I2" i="6"/>
  <c r="H2" i="6"/>
  <c r="G2" i="6"/>
  <c r="F2" i="6"/>
  <c r="E2" i="6"/>
  <c r="D2" i="6"/>
  <c r="AM5" i="6" l="1"/>
  <c r="F3" i="3" s="1"/>
  <c r="AM4" i="6"/>
  <c r="F2" i="3" s="1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C2" i="4"/>
  <c r="AD2" i="4"/>
  <c r="AE2" i="4"/>
  <c r="AF2" i="4"/>
  <c r="AG2" i="4"/>
  <c r="D2" i="4"/>
  <c r="N5" i="3"/>
  <c r="N6" i="3"/>
  <c r="M3" i="3"/>
  <c r="M4" i="3"/>
  <c r="M5" i="3"/>
  <c r="M6" i="3"/>
  <c r="M2" i="3"/>
  <c r="K5" i="3"/>
  <c r="J3" i="3"/>
  <c r="J4" i="3"/>
  <c r="J5" i="3"/>
  <c r="J6" i="3"/>
  <c r="J2" i="3"/>
  <c r="J10" i="3" s="1"/>
  <c r="I6" i="3"/>
  <c r="H6" i="3"/>
  <c r="I5" i="3"/>
  <c r="H5" i="3"/>
  <c r="I4" i="3"/>
  <c r="H4" i="3"/>
  <c r="K4" i="3" s="1"/>
  <c r="I3" i="3"/>
  <c r="H3" i="3"/>
  <c r="K3" i="3" s="1"/>
  <c r="L3" i="3" s="1"/>
  <c r="I2" i="3"/>
  <c r="H2" i="3"/>
  <c r="I2" i="2"/>
  <c r="I3" i="2"/>
  <c r="I4" i="2"/>
  <c r="I5" i="2"/>
  <c r="I6" i="2"/>
  <c r="H3" i="2"/>
  <c r="H4" i="2"/>
  <c r="H5" i="2"/>
  <c r="H6" i="2"/>
  <c r="H2" i="2"/>
  <c r="G4" i="1"/>
  <c r="I4" i="1" s="1"/>
  <c r="G5" i="1"/>
  <c r="I5" i="1" s="1"/>
  <c r="J5" i="1" s="1"/>
  <c r="G6" i="1"/>
  <c r="H6" i="1" s="1"/>
  <c r="G7" i="1"/>
  <c r="H7" i="1" s="1"/>
  <c r="G3" i="1"/>
  <c r="I3" i="1" s="1"/>
  <c r="L5" i="3" l="1"/>
  <c r="O5" i="3" s="1"/>
  <c r="N3" i="3"/>
  <c r="O3" i="3" s="1"/>
  <c r="K6" i="3"/>
  <c r="L6" i="3" s="1"/>
  <c r="O6" i="3" s="1"/>
  <c r="K2" i="3"/>
  <c r="L2" i="3" s="1"/>
  <c r="L4" i="3"/>
  <c r="I7" i="1"/>
  <c r="J7" i="1" s="1"/>
  <c r="J3" i="1"/>
  <c r="J4" i="1"/>
  <c r="H5" i="1"/>
  <c r="I6" i="1"/>
  <c r="J6" i="1" s="1"/>
  <c r="H3" i="1"/>
  <c r="H4" i="1"/>
  <c r="N4" i="3" l="1"/>
  <c r="O4" i="3" s="1"/>
  <c r="N2" i="3"/>
  <c r="O2" i="3" s="1"/>
</calcChain>
</file>

<file path=xl/sharedStrings.xml><?xml version="1.0" encoding="utf-8"?>
<sst xmlns="http://schemas.openxmlformats.org/spreadsheetml/2006/main" count="1085" uniqueCount="250">
  <si>
    <t>SR NO</t>
  </si>
  <si>
    <t>NAME OF CUSTOMER</t>
  </si>
  <si>
    <t>PRODUCT</t>
  </si>
  <si>
    <t>QTY</t>
  </si>
  <si>
    <t>RATE</t>
  </si>
  <si>
    <t>TOTAL AMOUNT</t>
  </si>
  <si>
    <t>DISCOUNT AMOUNT</t>
  </si>
  <si>
    <t>NET AMOUNT</t>
  </si>
  <si>
    <t>RAHUL KALE</t>
  </si>
  <si>
    <t>AJAY SHARMA</t>
  </si>
  <si>
    <t>VINOD MISHRA</t>
  </si>
  <si>
    <t>KARAN SINGH</t>
  </si>
  <si>
    <t>VIKAS JADHAV</t>
  </si>
  <si>
    <t>PEN</t>
  </si>
  <si>
    <t>PENCIL</t>
  </si>
  <si>
    <t>ERASER</t>
  </si>
  <si>
    <t>NAME OF EMPLOYEE</t>
  </si>
  <si>
    <t>DESG</t>
  </si>
  <si>
    <t>MANAGER</t>
  </si>
  <si>
    <t>SUPERVISOR</t>
  </si>
  <si>
    <t>CLERK</t>
  </si>
  <si>
    <t>WORKER</t>
  </si>
  <si>
    <t>PEON</t>
  </si>
  <si>
    <t>STATUS</t>
  </si>
  <si>
    <t>SKILL</t>
  </si>
  <si>
    <t>SEMISKILL</t>
  </si>
  <si>
    <t>UNSKILL</t>
  </si>
  <si>
    <t>FIXED BASIC</t>
  </si>
  <si>
    <t>P.DAYS</t>
  </si>
  <si>
    <t>OVERTIME</t>
  </si>
  <si>
    <t>C.M BASIC</t>
  </si>
  <si>
    <t>HRA</t>
  </si>
  <si>
    <t>TA</t>
  </si>
  <si>
    <t>DA</t>
  </si>
  <si>
    <t>PF</t>
  </si>
  <si>
    <t>PT</t>
  </si>
  <si>
    <t>NET SALARY</t>
  </si>
  <si>
    <t>GROSS SALARY</t>
  </si>
  <si>
    <t>&gt;=</t>
  </si>
  <si>
    <t>CUSTOMER TYPE</t>
  </si>
  <si>
    <t>CONSUMER</t>
  </si>
  <si>
    <t>WHOLESALER</t>
  </si>
  <si>
    <t>RETAILER</t>
  </si>
  <si>
    <t>DISCOUNT SHEET IN EXCEL</t>
  </si>
  <si>
    <t>CTC</t>
  </si>
  <si>
    <t>HOURS</t>
  </si>
  <si>
    <t>DAYS</t>
  </si>
  <si>
    <t>NESTED IF</t>
  </si>
  <si>
    <t>APR</t>
  </si>
  <si>
    <t>P</t>
  </si>
  <si>
    <t>AB</t>
  </si>
  <si>
    <t>PL</t>
  </si>
  <si>
    <t>SL</t>
  </si>
  <si>
    <t>W.OFF</t>
  </si>
  <si>
    <t>Presenty</t>
  </si>
  <si>
    <t>Absenty</t>
  </si>
  <si>
    <t>W.off</t>
  </si>
  <si>
    <t>Pay Days</t>
  </si>
  <si>
    <t>COUNTING</t>
  </si>
  <si>
    <t>CL</t>
  </si>
  <si>
    <t>Viresh Pal</t>
  </si>
  <si>
    <t>Ashok Singhania</t>
  </si>
  <si>
    <t>Kiran Katekar</t>
  </si>
  <si>
    <t>Ravi Verma</t>
  </si>
  <si>
    <t>Vinod Singh</t>
  </si>
  <si>
    <t>Sameer Shinde</t>
  </si>
  <si>
    <t>Santosh Kale</t>
  </si>
  <si>
    <t>Raj Singh</t>
  </si>
  <si>
    <t>Rajendra Verma</t>
  </si>
  <si>
    <t>Vinod Kale</t>
  </si>
  <si>
    <t>Shankar Jadhav</t>
  </si>
  <si>
    <t>Ashok Singh</t>
  </si>
  <si>
    <t>BONUS</t>
  </si>
  <si>
    <t>BASIC SALARY</t>
  </si>
  <si>
    <t>EMP</t>
  </si>
  <si>
    <t>Date</t>
  </si>
  <si>
    <t>YES</t>
  </si>
  <si>
    <t>NO</t>
  </si>
  <si>
    <t>SALES</t>
  </si>
  <si>
    <t>PURCHASE</t>
  </si>
  <si>
    <t>ACCOUNT</t>
  </si>
  <si>
    <t>YES/NO</t>
  </si>
  <si>
    <t>W.DAYS</t>
  </si>
  <si>
    <t>DEPT</t>
  </si>
  <si>
    <t>FAIL</t>
  </si>
  <si>
    <t>PASS</t>
  </si>
  <si>
    <t>OR</t>
  </si>
  <si>
    <t>AND</t>
  </si>
  <si>
    <t>E</t>
  </si>
  <si>
    <t>C</t>
  </si>
  <si>
    <t>D</t>
  </si>
  <si>
    <t>B</t>
  </si>
  <si>
    <t>A</t>
  </si>
  <si>
    <t>A+</t>
  </si>
  <si>
    <t>PER%</t>
  </si>
  <si>
    <t>GRADE</t>
  </si>
  <si>
    <t>RESULT</t>
  </si>
  <si>
    <t>%AGE</t>
  </si>
  <si>
    <t>AVG</t>
  </si>
  <si>
    <t>COUNT</t>
  </si>
  <si>
    <t>MIN</t>
  </si>
  <si>
    <t>MAX</t>
  </si>
  <si>
    <t>TOTAL</t>
  </si>
  <si>
    <t>SUB3</t>
  </si>
  <si>
    <t>SUB2</t>
  </si>
  <si>
    <t>SUB1</t>
  </si>
  <si>
    <t>NAME OF STUDENT</t>
  </si>
  <si>
    <t>&gt;15000</t>
  </si>
  <si>
    <t>A*</t>
  </si>
  <si>
    <t>KSHIRSAGAR GANESH BALASAHEB</t>
  </si>
  <si>
    <t>SALASKAR RAHUL DINESH</t>
  </si>
  <si>
    <t>KOLGE ROHIT DEEPAK</t>
  </si>
  <si>
    <t>CHAUHAN NISHA FAUJDAR</t>
  </si>
  <si>
    <t>SHIRKAR ANKITA PRAKASH</t>
  </si>
  <si>
    <t>DUBEY SHRUTI SANJAY</t>
  </si>
  <si>
    <t>JADHAV ADITI DEEPAK</t>
  </si>
  <si>
    <t>GHODEKAR CHETAN UTTAM</t>
  </si>
  <si>
    <t>IRMAL NIRAJ PRAKASH</t>
  </si>
  <si>
    <t>AFREEN RABIULLAH SALMANI</t>
  </si>
  <si>
    <t>VISHAL SHIVAJI MALGUNDE</t>
  </si>
  <si>
    <t>DAREKAR HEMANT VITTHAL</t>
  </si>
  <si>
    <t>Address</t>
  </si>
  <si>
    <t>Email</t>
  </si>
  <si>
    <t>RAID POINTS</t>
  </si>
  <si>
    <t>Nitin Tomar</t>
  </si>
  <si>
    <t>Siddharth Desai</t>
  </si>
  <si>
    <t>Ajay Thakur</t>
  </si>
  <si>
    <t>Pradeep Narwal</t>
  </si>
  <si>
    <t>Pawankumar Sherawat</t>
  </si>
  <si>
    <t>Name</t>
  </si>
  <si>
    <t>of</t>
  </si>
  <si>
    <t>Candidates</t>
  </si>
  <si>
    <t>KSHIRSAGAR</t>
  </si>
  <si>
    <t>GANESH</t>
  </si>
  <si>
    <t>BALASAHEB</t>
  </si>
  <si>
    <t>SALASKAR</t>
  </si>
  <si>
    <t>RAHUL</t>
  </si>
  <si>
    <t>DINESH</t>
  </si>
  <si>
    <t>KOLGE</t>
  </si>
  <si>
    <t>ROHIT</t>
  </si>
  <si>
    <t>DEEPAK</t>
  </si>
  <si>
    <t>CHAUHAN</t>
  </si>
  <si>
    <t>NISHA</t>
  </si>
  <si>
    <t>FAUJDAR</t>
  </si>
  <si>
    <t>SHIRKAR</t>
  </si>
  <si>
    <t>ANKITA</t>
  </si>
  <si>
    <t>PRAKASH</t>
  </si>
  <si>
    <t>DUBEY</t>
  </si>
  <si>
    <t>SHRUTI</t>
  </si>
  <si>
    <t>SANJAY</t>
  </si>
  <si>
    <t>JADHAV</t>
  </si>
  <si>
    <t>ADITI</t>
  </si>
  <si>
    <t>KAIYNAAT</t>
  </si>
  <si>
    <t>KHALIQUR</t>
  </si>
  <si>
    <t>REMAN</t>
  </si>
  <si>
    <t>SHAIKH</t>
  </si>
  <si>
    <t>GHODEKAR</t>
  </si>
  <si>
    <t>CHETAN</t>
  </si>
  <si>
    <t>UTTAM</t>
  </si>
  <si>
    <t>IRMAL</t>
  </si>
  <si>
    <t>NIRAJ</t>
  </si>
  <si>
    <t>AFREEN</t>
  </si>
  <si>
    <t>RABIULLAH</t>
  </si>
  <si>
    <t>SALMANI</t>
  </si>
  <si>
    <t>VISHAL</t>
  </si>
  <si>
    <t>SHIVAJI</t>
  </si>
  <si>
    <t>MALGUNDE</t>
  </si>
  <si>
    <t>DAREKAR</t>
  </si>
  <si>
    <t>HEMANT</t>
  </si>
  <si>
    <t>VITTHAL</t>
  </si>
  <si>
    <t xml:space="preserve">Mumbai </t>
  </si>
  <si>
    <t xml:space="preserve">Pune </t>
  </si>
  <si>
    <t>satish1234</t>
  </si>
  <si>
    <t>gmail.com</t>
  </si>
  <si>
    <t>satish3232</t>
  </si>
  <si>
    <t>satish12dfd4</t>
  </si>
  <si>
    <t>satish122234</t>
  </si>
  <si>
    <t>mumbai</t>
  </si>
  <si>
    <t xml:space="preserve">Of </t>
  </si>
  <si>
    <t>KAIYNAAT KHALIQUR REMAN</t>
  </si>
  <si>
    <t>Joing Unsing Flash Fill</t>
  </si>
  <si>
    <t>kshirsagar ganesh balasaheb</t>
  </si>
  <si>
    <t>salaskar rahul dinesh</t>
  </si>
  <si>
    <t>kolge rohit deepak</t>
  </si>
  <si>
    <t>chauhan nisha faujdar</t>
  </si>
  <si>
    <t>shirkar ankita prakash</t>
  </si>
  <si>
    <t>dubey shruti sanjay</t>
  </si>
  <si>
    <t>jadhav aditi deepak</t>
  </si>
  <si>
    <t>kaiynaat khaliqur reman</t>
  </si>
  <si>
    <t>ghodekar chetan uttam</t>
  </si>
  <si>
    <t>irmal niraj prakash</t>
  </si>
  <si>
    <t>afreen rabiullah salmani</t>
  </si>
  <si>
    <t>vishal shivaji malgunde</t>
  </si>
  <si>
    <t>darekar hemant vitthal</t>
  </si>
  <si>
    <t>lowercase using flash fill</t>
  </si>
  <si>
    <t xml:space="preserve">Type in Capital and Press CTRL + E </t>
  </si>
  <si>
    <t>WAGES</t>
  </si>
  <si>
    <t xml:space="preserve">PRACTICE FILE WILL BE SEPRATE </t>
  </si>
  <si>
    <t>CHECK THE OTHER EXCEL FILES</t>
  </si>
  <si>
    <t>3D FORMULA IN EXCEL PART 21</t>
  </si>
  <si>
    <t>DATA VALIDATION IN EXCEL PART 22</t>
  </si>
  <si>
    <t>Products</t>
  </si>
  <si>
    <t>Prices</t>
  </si>
  <si>
    <t>Wrist Watch</t>
  </si>
  <si>
    <t>PhotoFrame</t>
  </si>
  <si>
    <t>Teddy Bear</t>
  </si>
  <si>
    <t>Sun Glasses</t>
  </si>
  <si>
    <t>Cap</t>
  </si>
  <si>
    <t>Sr No</t>
  </si>
  <si>
    <t>PMT</t>
  </si>
  <si>
    <t>MONTHS</t>
  </si>
  <si>
    <t>PERIOD</t>
  </si>
  <si>
    <t>RUPEES</t>
  </si>
  <si>
    <t>LOAN</t>
  </si>
  <si>
    <t>PER ANNM</t>
  </si>
  <si>
    <t>INTEREST RATE</t>
  </si>
  <si>
    <t>EMI / PMT</t>
  </si>
  <si>
    <t>REGULAR PRICES</t>
  </si>
  <si>
    <t>Created by RAM on 4/12/2020</t>
  </si>
  <si>
    <t>RAKSHA BANDHAN</t>
  </si>
  <si>
    <t>SUMMER VACATION</t>
  </si>
  <si>
    <t>Scenario Summary</t>
  </si>
  <si>
    <t>Changing Cells:</t>
  </si>
  <si>
    <t>Current Values:</t>
  </si>
  <si>
    <t>Notes:  Current Values column represents values of changing cells at</t>
  </si>
  <si>
    <t>time Scenario Summary Report was created.  Changing cells for each</t>
  </si>
  <si>
    <t>scenario are highlighted in gray.</t>
  </si>
  <si>
    <t>1 Year</t>
  </si>
  <si>
    <t>2 Year</t>
  </si>
  <si>
    <t>3 Year</t>
  </si>
  <si>
    <t>4 Year</t>
  </si>
  <si>
    <t>5 Year</t>
  </si>
  <si>
    <t>6 Year</t>
  </si>
  <si>
    <t>7 Year</t>
  </si>
  <si>
    <t>8 Year</t>
  </si>
  <si>
    <t>9 Year</t>
  </si>
  <si>
    <t>10 Year</t>
  </si>
  <si>
    <t>DATE</t>
  </si>
  <si>
    <t>DFDSF</t>
  </si>
  <si>
    <t>ADDRESS</t>
  </si>
  <si>
    <t>CONTACTS</t>
  </si>
  <si>
    <t>ASHOK SINGH</t>
  </si>
  <si>
    <t>Ashok Singhaniya</t>
  </si>
  <si>
    <t>Santosh Jadhav</t>
  </si>
  <si>
    <t>Vinod Jadhav</t>
  </si>
  <si>
    <t>mumbai 400089</t>
  </si>
  <si>
    <t>mumbai 400090</t>
  </si>
  <si>
    <t>mumbai 400091</t>
  </si>
  <si>
    <t>mumbai 400092</t>
  </si>
  <si>
    <t>Seprate Excel ifile  is Given in Practice File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</si>
</sst>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4" formatCode="_(&quot;$&quot;* #,##0.00_);_(&quot;$&quot;* \(#,##0.00\);_(&quot;$&quot;* &quot;-&quot;??_);_(@_)"/>
    <numFmt numFmtId="164" formatCode="dd"/>
    <numFmt numFmtId="165" formatCode="[$Rs.-4009]\ #,##0.00;[Red][$Rs.-4009]\ \-#,##0.00"/>
    <numFmt numFmtId="166" formatCode="dd/mmmm/yyyy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indexed="9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0"/>
      <name val="Impact"/>
      <family val="2"/>
    </font>
    <font>
      <b/>
      <sz val="12"/>
      <color indexed="9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indexed="18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/>
      <right/>
      <top style="thin">
        <color theme="0"/>
      </top>
      <bottom/>
      <diagonal/>
    </border>
  </borders>
  <cellStyleXfs count="4">
    <xf numFmtId="0" fontId="0" fillId="0" borderId="0"/>
    <xf numFmtId="9" fontId="10" fillId="0" borderId="0" applyFont="0" applyFill="0" applyBorder="0" applyAlignment="0" applyProtection="0"/>
    <xf numFmtId="0" fontId="3" fillId="12" borderId="0" applyNumberFormat="0" applyBorder="0" applyAlignment="0" applyProtection="0"/>
    <xf numFmtId="0" fontId="12" fillId="0" borderId="0"/>
  </cellStyleXfs>
  <cellXfs count="75">
    <xf numFmtId="0" fontId="0" fillId="0" borderId="0" xfId="0"/>
    <xf numFmtId="9" fontId="0" fillId="0" borderId="0" xfId="0" applyNumberFormat="1"/>
    <xf numFmtId="0" fontId="0" fillId="0" borderId="1" xfId="0" applyBorder="1"/>
    <xf numFmtId="2" fontId="0" fillId="0" borderId="0" xfId="0" applyNumberFormat="1"/>
    <xf numFmtId="164" fontId="0" fillId="0" borderId="1" xfId="0" applyNumberFormat="1" applyBorder="1"/>
    <xf numFmtId="0" fontId="0" fillId="0" borderId="1" xfId="0" applyBorder="1" applyAlignment="1">
      <alignment textRotation="90"/>
    </xf>
    <xf numFmtId="0" fontId="0" fillId="0" borderId="1" xfId="0" applyFill="1" applyBorder="1"/>
    <xf numFmtId="0" fontId="0" fillId="0" borderId="1" xfId="0" applyFont="1" applyBorder="1"/>
    <xf numFmtId="14" fontId="0" fillId="0" borderId="1" xfId="0" applyNumberFormat="1" applyBorder="1"/>
    <xf numFmtId="0" fontId="0" fillId="4" borderId="1" xfId="0" applyFill="1" applyBorder="1"/>
    <xf numFmtId="14" fontId="0" fillId="4" borderId="1" xfId="0" applyNumberFormat="1" applyFill="1" applyBorder="1"/>
    <xf numFmtId="0" fontId="0" fillId="4" borderId="1" xfId="0" applyFont="1" applyFill="1" applyBorder="1"/>
    <xf numFmtId="0" fontId="0" fillId="4" borderId="0" xfId="0" applyFill="1"/>
    <xf numFmtId="14" fontId="0" fillId="5" borderId="1" xfId="0" applyNumberFormat="1" applyFill="1" applyBorder="1"/>
    <xf numFmtId="0" fontId="0" fillId="5" borderId="1" xfId="0" applyFont="1" applyFill="1" applyBorder="1"/>
    <xf numFmtId="0" fontId="0" fillId="5" borderId="1" xfId="0" applyFill="1" applyBorder="1"/>
    <xf numFmtId="0" fontId="0" fillId="5" borderId="0" xfId="0" applyFill="1"/>
    <xf numFmtId="0" fontId="0" fillId="5" borderId="0" xfId="0" applyFill="1" applyBorder="1"/>
    <xf numFmtId="14" fontId="0" fillId="0" borderId="1" xfId="0" applyNumberFormat="1" applyFill="1" applyBorder="1"/>
    <xf numFmtId="0" fontId="0" fillId="0" borderId="1" xfId="0" applyFont="1" applyFill="1" applyBorder="1"/>
    <xf numFmtId="0" fontId="0" fillId="0" borderId="0" xfId="0" applyFill="1"/>
    <xf numFmtId="0" fontId="6" fillId="10" borderId="1" xfId="0" applyFont="1" applyFill="1" applyBorder="1"/>
    <xf numFmtId="0" fontId="0" fillId="0" borderId="0" xfId="0"/>
    <xf numFmtId="9" fontId="0" fillId="0" borderId="0" xfId="0" applyNumberFormat="1"/>
    <xf numFmtId="165" fontId="0" fillId="0" borderId="0" xfId="0" applyNumberFormat="1"/>
    <xf numFmtId="18" fontId="0" fillId="0" borderId="0" xfId="0" applyNumberFormat="1"/>
    <xf numFmtId="14" fontId="0" fillId="0" borderId="0" xfId="0" applyNumberFormat="1" applyFont="1"/>
    <xf numFmtId="0" fontId="0" fillId="0" borderId="0" xfId="0" applyAlignment="1">
      <alignment wrapText="1"/>
    </xf>
    <xf numFmtId="0" fontId="0" fillId="0" borderId="1" xfId="0" applyBorder="1"/>
    <xf numFmtId="0" fontId="1" fillId="0" borderId="0" xfId="0" applyFont="1"/>
    <xf numFmtId="0" fontId="0" fillId="0" borderId="0" xfId="0" applyFill="1" applyBorder="1" applyAlignment="1"/>
    <xf numFmtId="0" fontId="0" fillId="0" borderId="5" xfId="0" applyFill="1" applyBorder="1" applyAlignment="1"/>
    <xf numFmtId="0" fontId="4" fillId="7" borderId="4" xfId="0" applyFont="1" applyFill="1" applyBorder="1" applyAlignment="1">
      <alignment horizontal="right"/>
    </xf>
    <xf numFmtId="0" fontId="4" fillId="7" borderId="3" xfId="0" applyFont="1" applyFill="1" applyBorder="1" applyAlignment="1">
      <alignment horizontal="right"/>
    </xf>
    <xf numFmtId="0" fontId="0" fillId="0" borderId="6" xfId="0" applyFill="1" applyBorder="1" applyAlignment="1"/>
    <xf numFmtId="0" fontId="0" fillId="9" borderId="0" xfId="0" applyFill="1" applyBorder="1" applyAlignment="1"/>
    <xf numFmtId="0" fontId="5" fillId="0" borderId="0" xfId="0" applyFont="1" applyFill="1" applyBorder="1" applyAlignment="1">
      <alignment vertical="top" wrapText="1"/>
    </xf>
    <xf numFmtId="0" fontId="3" fillId="11" borderId="0" xfId="0" applyFont="1" applyFill="1"/>
    <xf numFmtId="0" fontId="7" fillId="7" borderId="3" xfId="0" applyFont="1" applyFill="1" applyBorder="1" applyAlignment="1">
      <alignment horizontal="left"/>
    </xf>
    <xf numFmtId="0" fontId="7" fillId="7" borderId="4" xfId="0" applyFont="1" applyFill="1" applyBorder="1" applyAlignment="1">
      <alignment horizontal="left"/>
    </xf>
    <xf numFmtId="0" fontId="8" fillId="8" borderId="0" xfId="0" applyFont="1" applyFill="1" applyBorder="1" applyAlignment="1">
      <alignment horizontal="left"/>
    </xf>
    <xf numFmtId="0" fontId="9" fillId="8" borderId="5" xfId="0" applyFont="1" applyFill="1" applyBorder="1" applyAlignment="1">
      <alignment horizontal="left"/>
    </xf>
    <xf numFmtId="0" fontId="9" fillId="8" borderId="6" xfId="0" applyFont="1" applyFill="1" applyBorder="1" applyAlignment="1">
      <alignment horizontal="left"/>
    </xf>
    <xf numFmtId="0" fontId="0" fillId="5" borderId="1" xfId="0" applyFill="1" applyBorder="1" applyAlignment="1">
      <alignment horizontal="right"/>
    </xf>
    <xf numFmtId="9" fontId="0" fillId="0" borderId="1" xfId="0" applyNumberFormat="1" applyBorder="1"/>
    <xf numFmtId="165" fontId="0" fillId="6" borderId="1" xfId="0" applyNumberFormat="1" applyFill="1" applyBorder="1"/>
    <xf numFmtId="0" fontId="0" fillId="6" borderId="1" xfId="0" applyFill="1" applyBorder="1"/>
    <xf numFmtId="0" fontId="0" fillId="0" borderId="0" xfId="0" applyBorder="1"/>
    <xf numFmtId="0" fontId="11" fillId="4" borderId="0" xfId="0" applyFont="1" applyFill="1" applyBorder="1" applyAlignment="1">
      <alignment horizontal="left"/>
    </xf>
    <xf numFmtId="0" fontId="0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Fill="1" applyBorder="1" applyAlignment="1">
      <alignment horizontal="right"/>
    </xf>
    <xf numFmtId="0" fontId="0" fillId="0" borderId="0" xfId="0" applyBorder="1" applyAlignment="1">
      <alignment horizontal="right"/>
    </xf>
    <xf numFmtId="44" fontId="0" fillId="0" borderId="0" xfId="0" applyNumberFormat="1" applyBorder="1" applyAlignment="1">
      <alignment horizontal="right"/>
    </xf>
    <xf numFmtId="166" fontId="0" fillId="0" borderId="0" xfId="0" applyNumberFormat="1" applyBorder="1"/>
    <xf numFmtId="9" fontId="0" fillId="0" borderId="0" xfId="1" applyFont="1" applyBorder="1"/>
    <xf numFmtId="44" fontId="0" fillId="13" borderId="7" xfId="0" applyNumberFormat="1" applyFont="1" applyFill="1" applyBorder="1" applyAlignment="1">
      <alignment horizontal="right"/>
    </xf>
    <xf numFmtId="0" fontId="0" fillId="13" borderId="9" xfId="0" applyFont="1" applyFill="1" applyBorder="1" applyAlignment="1">
      <alignment horizontal="left"/>
    </xf>
    <xf numFmtId="44" fontId="0" fillId="13" borderId="10" xfId="0" applyNumberFormat="1" applyFont="1" applyFill="1" applyBorder="1" applyAlignment="1">
      <alignment horizontal="right"/>
    </xf>
    <xf numFmtId="0" fontId="0" fillId="14" borderId="11" xfId="0" applyFont="1" applyFill="1" applyBorder="1" applyAlignment="1">
      <alignment horizontal="left"/>
    </xf>
    <xf numFmtId="44" fontId="0" fillId="14" borderId="7" xfId="0" applyNumberFormat="1" applyFont="1" applyFill="1" applyBorder="1" applyAlignment="1">
      <alignment horizontal="right"/>
    </xf>
    <xf numFmtId="0" fontId="0" fillId="13" borderId="11" xfId="0" applyFont="1" applyFill="1" applyBorder="1" applyAlignment="1">
      <alignment horizontal="left"/>
    </xf>
    <xf numFmtId="44" fontId="0" fillId="0" borderId="0" xfId="0" applyNumberFormat="1" applyBorder="1"/>
    <xf numFmtId="0" fontId="0" fillId="0" borderId="0" xfId="0" applyNumberFormat="1" applyBorder="1"/>
    <xf numFmtId="0" fontId="3" fillId="12" borderId="0" xfId="2" applyBorder="1" applyAlignment="1">
      <alignment horizontal="left"/>
    </xf>
    <xf numFmtId="44" fontId="3" fillId="12" borderId="8" xfId="2" applyNumberFormat="1" applyBorder="1" applyAlignment="1">
      <alignment horizontal="left"/>
    </xf>
    <xf numFmtId="0" fontId="3" fillId="12" borderId="0" xfId="2" applyBorder="1"/>
    <xf numFmtId="0" fontId="1" fillId="2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0" fillId="0" borderId="1" xfId="0" applyFill="1" applyBorder="1" applyProtection="1">
      <protection locked="0"/>
    </xf>
    <xf numFmtId="0" fontId="0" fillId="0" borderId="0" xfId="0" applyProtection="1">
      <protection locked="0"/>
    </xf>
    <xf numFmtId="0" fontId="0" fillId="0" borderId="1" xfId="0" applyFont="1" applyFill="1" applyBorder="1" applyProtection="1">
      <protection locked="0"/>
    </xf>
    <xf numFmtId="0" fontId="0" fillId="15" borderId="1" xfId="0" applyFill="1" applyBorder="1"/>
  </cellXfs>
  <cellStyles count="4">
    <cellStyle name="Accent4" xfId="2" builtinId="41"/>
    <cellStyle name="Normal" xfId="0" builtinId="0"/>
    <cellStyle name="Normal 2" xfId="3"/>
    <cellStyle name="Percent" xfId="1" builtinId="5"/>
  </cellStyles>
  <dxfs count="27"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</dxf>
    <dxf>
      <font>
        <color rgb="FFFF0000"/>
      </font>
    </dxf>
    <dxf>
      <font>
        <color rgb="FF7030A0"/>
      </font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34" formatCode="_(&quot;$&quot;* #,##0.00_);_(&quot;$&quot;* \(#,##0.00\);_(&quot;$&quot;* &quot;-&quot;??_);_(@_)"/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4" formatCode="_(&quot;$&quot;* #,##0.00_);_(&quot;$&quot;* \(#,##0.00\);_(&quot;$&quot;* &quot;-&quot;??_);_(@_)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(&quot;$&quot;* #,##0.00_);_(&quot;$&quot;* \(#,##0.00\);_(&quot;$&quot;* &quot;-&quot;??_);_(@_)"/>
      <fill>
        <patternFill patternType="solid">
          <fgColor theme="4" tint="0.59999389629810485"/>
          <bgColor theme="4" tint="0.59999389629810485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theme="4" tint="0.5999938962981048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2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ATA%20FOR%20EXCEL%20PRACTICE\ALL%20FUNCTION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AM/Downloads/31%20Powerful%20Excel%20Formula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MT  IPMT PPMT"/>
      <sheetName val="PV AND FV"/>
      <sheetName val="LOGICAL FUNCTIONS"/>
      <sheetName val="VLOOKUP 1"/>
      <sheetName val="Sheet1"/>
      <sheetName val="Vlookup 2"/>
      <sheetName val="Pivot Table Result"/>
      <sheetName val="Pivot Table Data"/>
      <sheetName val="HLOOKUP"/>
      <sheetName val="PRINT IN EXCEL"/>
      <sheetName val="Report of Ad.Filter"/>
    </sheetNames>
    <sheetDataSet>
      <sheetData sheetId="0"/>
      <sheetData sheetId="1"/>
      <sheetData sheetId="2"/>
      <sheetData sheetId="3">
        <row r="1">
          <cell r="A1" t="str">
            <v>Account No</v>
          </cell>
          <cell r="B1" t="str">
            <v xml:space="preserve">C.Amount </v>
          </cell>
          <cell r="C1" t="str">
            <v>AcctType</v>
          </cell>
          <cell r="D1" t="str">
            <v>Branch</v>
          </cell>
          <cell r="E1" t="str">
            <v>Customer</v>
          </cell>
        </row>
        <row r="2">
          <cell r="A2">
            <v>5600001</v>
          </cell>
          <cell r="B2">
            <v>5000</v>
          </cell>
          <cell r="C2" t="str">
            <v>IRA</v>
          </cell>
          <cell r="D2" t="str">
            <v>Central</v>
          </cell>
          <cell r="E2" t="str">
            <v>Existing</v>
          </cell>
        </row>
        <row r="3">
          <cell r="A3">
            <v>5600002</v>
          </cell>
          <cell r="B3">
            <v>14571</v>
          </cell>
          <cell r="C3" t="str">
            <v>CD</v>
          </cell>
          <cell r="D3" t="str">
            <v>Central</v>
          </cell>
          <cell r="E3" t="str">
            <v>New</v>
          </cell>
        </row>
        <row r="4">
          <cell r="A4">
            <v>5600003</v>
          </cell>
          <cell r="B4">
            <v>500</v>
          </cell>
          <cell r="C4" t="str">
            <v>Checking</v>
          </cell>
          <cell r="D4" t="str">
            <v>Central</v>
          </cell>
          <cell r="E4" t="str">
            <v>Existing</v>
          </cell>
        </row>
        <row r="5">
          <cell r="A5">
            <v>5600004</v>
          </cell>
          <cell r="B5">
            <v>15000</v>
          </cell>
          <cell r="C5" t="str">
            <v>CD</v>
          </cell>
          <cell r="D5" t="str">
            <v>Central</v>
          </cell>
          <cell r="E5" t="str">
            <v>Existing</v>
          </cell>
        </row>
        <row r="6">
          <cell r="A6">
            <v>5600005</v>
          </cell>
          <cell r="B6">
            <v>4623</v>
          </cell>
          <cell r="C6" t="str">
            <v>Savings</v>
          </cell>
          <cell r="D6" t="str">
            <v>North County</v>
          </cell>
          <cell r="E6" t="str">
            <v>Existing</v>
          </cell>
        </row>
        <row r="7">
          <cell r="A7">
            <v>5600006</v>
          </cell>
          <cell r="B7">
            <v>8721</v>
          </cell>
          <cell r="C7" t="str">
            <v>Savings</v>
          </cell>
          <cell r="D7" t="str">
            <v>Westside</v>
          </cell>
          <cell r="E7" t="str">
            <v>New</v>
          </cell>
        </row>
        <row r="8">
          <cell r="A8">
            <v>5600007</v>
          </cell>
          <cell r="B8">
            <v>15276</v>
          </cell>
          <cell r="C8" t="str">
            <v>Savings</v>
          </cell>
          <cell r="D8" t="str">
            <v>North County</v>
          </cell>
          <cell r="E8" t="str">
            <v>Existing</v>
          </cell>
        </row>
        <row r="9">
          <cell r="A9">
            <v>5600008</v>
          </cell>
          <cell r="B9">
            <v>5000</v>
          </cell>
          <cell r="C9" t="str">
            <v>Savings</v>
          </cell>
          <cell r="D9" t="str">
            <v>Westside</v>
          </cell>
          <cell r="E9" t="str">
            <v>Existing</v>
          </cell>
        </row>
        <row r="10">
          <cell r="A10">
            <v>5600009</v>
          </cell>
          <cell r="B10">
            <v>15759</v>
          </cell>
          <cell r="C10" t="str">
            <v>CD</v>
          </cell>
          <cell r="D10" t="str">
            <v>Westside</v>
          </cell>
          <cell r="E10" t="str">
            <v>Existing</v>
          </cell>
        </row>
        <row r="11">
          <cell r="A11">
            <v>5600010</v>
          </cell>
          <cell r="B11">
            <v>12000</v>
          </cell>
          <cell r="C11" t="str">
            <v>CD</v>
          </cell>
          <cell r="D11" t="str">
            <v>Westside</v>
          </cell>
          <cell r="E11" t="str">
            <v>Existing</v>
          </cell>
        </row>
        <row r="12">
          <cell r="A12">
            <v>5600011</v>
          </cell>
          <cell r="B12">
            <v>7177</v>
          </cell>
          <cell r="C12" t="str">
            <v>Savings</v>
          </cell>
          <cell r="D12" t="str">
            <v>North County</v>
          </cell>
          <cell r="E12" t="str">
            <v>Existing</v>
          </cell>
        </row>
        <row r="13">
          <cell r="A13">
            <v>5600012</v>
          </cell>
          <cell r="B13">
            <v>6837</v>
          </cell>
          <cell r="C13" t="str">
            <v>Savings</v>
          </cell>
          <cell r="D13" t="str">
            <v>Westside</v>
          </cell>
          <cell r="E13" t="str">
            <v>Existing</v>
          </cell>
        </row>
        <row r="14">
          <cell r="A14">
            <v>5600013</v>
          </cell>
          <cell r="B14">
            <v>3171</v>
          </cell>
          <cell r="C14" t="str">
            <v>Checking</v>
          </cell>
          <cell r="D14" t="str">
            <v>Westside</v>
          </cell>
          <cell r="E14" t="str">
            <v>Existing</v>
          </cell>
        </row>
        <row r="15">
          <cell r="A15">
            <v>5600014</v>
          </cell>
          <cell r="B15">
            <v>50000</v>
          </cell>
          <cell r="C15" t="str">
            <v>Savings</v>
          </cell>
          <cell r="D15" t="str">
            <v>Central</v>
          </cell>
          <cell r="E15" t="str">
            <v>Existing</v>
          </cell>
        </row>
        <row r="16">
          <cell r="A16">
            <v>5600015</v>
          </cell>
          <cell r="B16">
            <v>4690</v>
          </cell>
          <cell r="C16" t="str">
            <v>Checking</v>
          </cell>
          <cell r="D16" t="str">
            <v>North County</v>
          </cell>
          <cell r="E16" t="str">
            <v>New</v>
          </cell>
        </row>
        <row r="17">
          <cell r="A17">
            <v>5600016</v>
          </cell>
          <cell r="B17">
            <v>12438</v>
          </cell>
          <cell r="C17" t="str">
            <v>Checking</v>
          </cell>
          <cell r="D17" t="str">
            <v>Central</v>
          </cell>
          <cell r="E17" t="str">
            <v>Existing</v>
          </cell>
        </row>
        <row r="18">
          <cell r="A18">
            <v>5600017</v>
          </cell>
          <cell r="B18">
            <v>5000</v>
          </cell>
          <cell r="C18" t="str">
            <v>Checking</v>
          </cell>
          <cell r="D18" t="str">
            <v>North County</v>
          </cell>
          <cell r="E18" t="str">
            <v>Existing</v>
          </cell>
        </row>
      </sheetData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REQUENCY"/>
      <sheetName val="INDEX &amp; MATCH"/>
      <sheetName val="LOOKUP"/>
      <sheetName val="VLOOKUP"/>
      <sheetName val="HLOOKUP"/>
      <sheetName val="SUMIF"/>
      <sheetName val="SUMIFS"/>
      <sheetName val="COUNTIF"/>
      <sheetName val="COUNTIFS"/>
      <sheetName val="COUNTA &amp; COUNT BLANK"/>
      <sheetName val="AVERAGEIF AND AVERAGE IFS"/>
      <sheetName val="SUBTOTAL"/>
      <sheetName val="SUMPRODUCT"/>
      <sheetName val="IF AND IF OR"/>
      <sheetName val="NESTED IF"/>
      <sheetName val="LEFT, MID, RIGHT, FIND "/>
      <sheetName val="REPEAT"/>
      <sheetName val="SUBSTITUTE"/>
      <sheetName val="PMT,IPMT,PPMT,PV,FV"/>
    </sheetNames>
    <sheetDataSet>
      <sheetData sheetId="0" refreshError="1"/>
      <sheetData sheetId="1" refreshError="1"/>
      <sheetData sheetId="2" refreshError="1"/>
      <sheetData sheetId="3">
        <row r="1">
          <cell r="A1" t="str">
            <v>Account No</v>
          </cell>
          <cell r="B1" t="str">
            <v>Amount</v>
          </cell>
          <cell r="C1" t="str">
            <v>AcctType</v>
          </cell>
          <cell r="D1" t="str">
            <v>Branch</v>
          </cell>
          <cell r="E1" t="str">
            <v>Customer</v>
          </cell>
        </row>
        <row r="2">
          <cell r="A2">
            <v>5600001</v>
          </cell>
          <cell r="B2">
            <v>5000</v>
          </cell>
          <cell r="C2" t="str">
            <v>IRA</v>
          </cell>
          <cell r="D2" t="str">
            <v>Central</v>
          </cell>
          <cell r="E2" t="str">
            <v>Existing</v>
          </cell>
        </row>
        <row r="3">
          <cell r="A3">
            <v>5600002</v>
          </cell>
          <cell r="B3">
            <v>14571</v>
          </cell>
          <cell r="C3" t="str">
            <v>CD</v>
          </cell>
          <cell r="D3" t="str">
            <v>Central</v>
          </cell>
          <cell r="E3" t="str">
            <v>New</v>
          </cell>
        </row>
        <row r="4">
          <cell r="A4">
            <v>5600003</v>
          </cell>
          <cell r="B4">
            <v>500</v>
          </cell>
          <cell r="C4" t="str">
            <v>Checking</v>
          </cell>
          <cell r="D4" t="str">
            <v>Central</v>
          </cell>
          <cell r="E4" t="str">
            <v>Existing</v>
          </cell>
        </row>
        <row r="5">
          <cell r="A5">
            <v>5600004</v>
          </cell>
          <cell r="B5">
            <v>15000</v>
          </cell>
          <cell r="C5" t="str">
            <v>CD</v>
          </cell>
          <cell r="D5" t="str">
            <v>Central</v>
          </cell>
          <cell r="E5" t="str">
            <v>Existing</v>
          </cell>
        </row>
        <row r="6">
          <cell r="A6">
            <v>5600005</v>
          </cell>
          <cell r="B6">
            <v>4623</v>
          </cell>
          <cell r="C6" t="str">
            <v>Savings</v>
          </cell>
          <cell r="D6" t="str">
            <v>North County</v>
          </cell>
          <cell r="E6" t="str">
            <v>Existing</v>
          </cell>
        </row>
        <row r="7">
          <cell r="A7">
            <v>5600006</v>
          </cell>
          <cell r="B7">
            <v>8721</v>
          </cell>
          <cell r="C7" t="str">
            <v>Savings</v>
          </cell>
          <cell r="D7" t="str">
            <v>Westside</v>
          </cell>
          <cell r="E7" t="str">
            <v>New</v>
          </cell>
        </row>
        <row r="8">
          <cell r="A8">
            <v>5600007</v>
          </cell>
          <cell r="B8">
            <v>15276</v>
          </cell>
          <cell r="C8" t="str">
            <v>Savings</v>
          </cell>
          <cell r="D8" t="str">
            <v>North County</v>
          </cell>
          <cell r="E8" t="str">
            <v>Existing</v>
          </cell>
        </row>
        <row r="9">
          <cell r="A9">
            <v>5600008</v>
          </cell>
          <cell r="B9">
            <v>5000</v>
          </cell>
          <cell r="C9" t="str">
            <v>Savings</v>
          </cell>
          <cell r="D9" t="str">
            <v>Westside</v>
          </cell>
          <cell r="E9" t="str">
            <v>Existing</v>
          </cell>
        </row>
        <row r="10">
          <cell r="A10">
            <v>5600009</v>
          </cell>
          <cell r="B10">
            <v>15759</v>
          </cell>
          <cell r="C10" t="str">
            <v>CD</v>
          </cell>
          <cell r="D10" t="str">
            <v>Westside</v>
          </cell>
          <cell r="E10" t="str">
            <v>Existing</v>
          </cell>
        </row>
        <row r="11">
          <cell r="A11">
            <v>5600010</v>
          </cell>
          <cell r="B11">
            <v>12000</v>
          </cell>
          <cell r="C11" t="str">
            <v>CD</v>
          </cell>
          <cell r="D11" t="str">
            <v>Westside</v>
          </cell>
          <cell r="E11" t="str">
            <v>Existing</v>
          </cell>
        </row>
        <row r="12">
          <cell r="A12">
            <v>5600011</v>
          </cell>
          <cell r="B12">
            <v>7177</v>
          </cell>
          <cell r="C12" t="str">
            <v>Savings</v>
          </cell>
          <cell r="D12" t="str">
            <v>North County</v>
          </cell>
          <cell r="E12" t="str">
            <v>Existing</v>
          </cell>
        </row>
        <row r="13">
          <cell r="A13">
            <v>5600012</v>
          </cell>
          <cell r="B13">
            <v>6837</v>
          </cell>
          <cell r="C13" t="str">
            <v>Savings</v>
          </cell>
          <cell r="D13" t="str">
            <v>Westside</v>
          </cell>
          <cell r="E13" t="str">
            <v>Existing</v>
          </cell>
        </row>
        <row r="14">
          <cell r="A14">
            <v>5600013</v>
          </cell>
          <cell r="B14">
            <v>3171</v>
          </cell>
          <cell r="C14" t="str">
            <v>Checking</v>
          </cell>
          <cell r="D14" t="str">
            <v>Westside</v>
          </cell>
          <cell r="E14" t="str">
            <v>Existing</v>
          </cell>
        </row>
        <row r="15">
          <cell r="A15">
            <v>5600014</v>
          </cell>
          <cell r="B15">
            <v>50000</v>
          </cell>
          <cell r="C15" t="str">
            <v>Savings</v>
          </cell>
          <cell r="D15" t="str">
            <v>Central</v>
          </cell>
          <cell r="E15" t="str">
            <v>Existing</v>
          </cell>
        </row>
        <row r="16">
          <cell r="A16">
            <v>5600015</v>
          </cell>
          <cell r="B16">
            <v>4690</v>
          </cell>
          <cell r="C16" t="str">
            <v>Checking</v>
          </cell>
          <cell r="D16" t="str">
            <v>North County</v>
          </cell>
          <cell r="E16" t="str">
            <v>New</v>
          </cell>
        </row>
        <row r="17">
          <cell r="A17">
            <v>5600016</v>
          </cell>
          <cell r="B17">
            <v>12438</v>
          </cell>
          <cell r="C17" t="str">
            <v>Checking</v>
          </cell>
          <cell r="D17" t="str">
            <v>Central</v>
          </cell>
          <cell r="E17" t="str">
            <v>Existing</v>
          </cell>
        </row>
        <row r="18">
          <cell r="A18">
            <v>5600017</v>
          </cell>
          <cell r="B18">
            <v>5000</v>
          </cell>
          <cell r="C18" t="str">
            <v>Checking</v>
          </cell>
          <cell r="D18" t="str">
            <v>North County</v>
          </cell>
          <cell r="E18" t="str">
            <v>Existing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tables/table1.xml><?xml version="1.0" encoding="utf-8"?>
<table xmlns="http://schemas.openxmlformats.org/spreadsheetml/2006/main" id="2" name="Table2" displayName="Table2" ref="A1:D10" totalsRowShown="0" headerRowCellStyle="Accent4">
  <autoFilter ref="A1:D10"/>
  <tableColumns count="4">
    <tableColumn id="1" name="NAME OF EMPLOYEE" dataDxfId="26"/>
    <tableColumn id="2" name="WAGES" dataDxfId="25"/>
    <tableColumn id="3" name="DAYS" dataDxfId="24"/>
    <tableColumn id="4" name="TOTAL" dataDxfId="23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3" name="Table3" displayName="Table3" ref="A14:D24">
  <autoFilter ref="A14:D24"/>
  <tableColumns count="4">
    <tableColumn id="1" name="NAME OF EMPLOYEE" totalsRowLabel="Total" dataDxfId="22" totalsRowDxfId="21"/>
    <tableColumn id="2" name="WAGES" dataDxfId="20" totalsRowDxfId="19"/>
    <tableColumn id="3" name="DAYS" dataDxfId="18" totalsRowDxfId="17"/>
    <tableColumn id="4" name="TOTAL" totalsRowFunction="count" dataDxfId="16">
      <calculatedColumnFormula>Table3[[#This Row],[WAGES]]*Table3[[#This Row],[DAYS]]</calculatedColumnFormula>
    </tableColumn>
  </tableColumns>
  <tableStyleInfo name="TableStyleLight10" showFirstColumn="0" showLastColumn="0" showRowStripes="1" showColumnStripes="1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1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2"/>
  <sheetViews>
    <sheetView zoomScale="160" zoomScaleNormal="160" workbookViewId="0">
      <selection activeCell="B11" sqref="B11"/>
    </sheetView>
  </sheetViews>
  <sheetFormatPr defaultRowHeight="15" x14ac:dyDescent="0.25"/>
  <cols>
    <col min="2" max="2" width="19.7109375" bestFit="1" customWidth="1"/>
    <col min="3" max="3" width="19.7109375" customWidth="1"/>
    <col min="7" max="7" width="15.5703125" customWidth="1"/>
    <col min="8" max="9" width="19" bestFit="1" customWidth="1"/>
    <col min="10" max="10" width="13.140625" bestFit="1" customWidth="1"/>
  </cols>
  <sheetData>
    <row r="1" spans="1:10" x14ac:dyDescent="0.25">
      <c r="A1" s="68" t="s">
        <v>43</v>
      </c>
      <c r="B1" s="68"/>
      <c r="C1" s="68"/>
      <c r="D1" s="68"/>
      <c r="E1" s="68"/>
      <c r="F1" s="68"/>
      <c r="G1" s="68"/>
      <c r="H1" s="68"/>
      <c r="I1" s="68"/>
      <c r="J1" s="68"/>
    </row>
    <row r="2" spans="1:10" x14ac:dyDescent="0.25">
      <c r="A2" s="2" t="s">
        <v>0</v>
      </c>
      <c r="B2" s="2" t="s">
        <v>1</v>
      </c>
      <c r="C2" s="2" t="s">
        <v>39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2" t="s">
        <v>6</v>
      </c>
      <c r="J2" s="2" t="s">
        <v>7</v>
      </c>
    </row>
    <row r="3" spans="1:10" x14ac:dyDescent="0.25">
      <c r="A3" s="2">
        <v>1</v>
      </c>
      <c r="B3" s="2" t="s">
        <v>8</v>
      </c>
      <c r="C3" s="2" t="s">
        <v>41</v>
      </c>
      <c r="D3" s="2" t="s">
        <v>13</v>
      </c>
      <c r="E3" s="2">
        <v>50</v>
      </c>
      <c r="F3" s="2">
        <v>30</v>
      </c>
      <c r="G3" s="2">
        <f>E3*F3</f>
        <v>1500</v>
      </c>
      <c r="H3" s="2">
        <f>IF(C3="WHOLESALER",G3*30%,IF(C3="RETAILER",G3*20%,G3*10%))</f>
        <v>450</v>
      </c>
      <c r="I3" s="2">
        <f>IF(E3&gt;=50,G3*20%,IF(E3&gt;=30,G3*10%,IF(E3&gt;=15,G3*5%,0)))</f>
        <v>300</v>
      </c>
      <c r="J3" s="2">
        <f>G3-I3</f>
        <v>1200</v>
      </c>
    </row>
    <row r="4" spans="1:10" x14ac:dyDescent="0.25">
      <c r="A4" s="2">
        <v>2</v>
      </c>
      <c r="B4" s="2" t="s">
        <v>9</v>
      </c>
      <c r="C4" s="2" t="s">
        <v>42</v>
      </c>
      <c r="D4" s="2" t="s">
        <v>14</v>
      </c>
      <c r="E4" s="2">
        <v>100</v>
      </c>
      <c r="F4" s="2">
        <v>20</v>
      </c>
      <c r="G4" s="2">
        <f t="shared" ref="G4:G7" si="0">E4*F4</f>
        <v>2000</v>
      </c>
      <c r="H4" s="2">
        <f t="shared" ref="H4:H7" si="1">IF(C4="WHOLESALER",G4*30%,IF(C4="RETAILER",G4*20%,G4*10%))</f>
        <v>400</v>
      </c>
      <c r="I4" s="2">
        <f t="shared" ref="I4:I7" si="2">IF(E4&gt;=50,G4*20%,IF(E4&gt;=30,G4*10%,IF(E4&gt;=15,G4*5%,0)))</f>
        <v>400</v>
      </c>
      <c r="J4" s="2">
        <f t="shared" ref="J4:J7" si="3">G4-I4</f>
        <v>1600</v>
      </c>
    </row>
    <row r="5" spans="1:10" x14ac:dyDescent="0.25">
      <c r="A5" s="2">
        <v>3</v>
      </c>
      <c r="B5" s="2" t="s">
        <v>10</v>
      </c>
      <c r="C5" s="2" t="s">
        <v>40</v>
      </c>
      <c r="D5" s="2" t="s">
        <v>15</v>
      </c>
      <c r="E5" s="2">
        <v>60</v>
      </c>
      <c r="F5" s="2">
        <v>10</v>
      </c>
      <c r="G5" s="2">
        <f t="shared" si="0"/>
        <v>600</v>
      </c>
      <c r="H5" s="2">
        <f t="shared" si="1"/>
        <v>60</v>
      </c>
      <c r="I5" s="2">
        <f t="shared" si="2"/>
        <v>120</v>
      </c>
      <c r="J5" s="2">
        <f t="shared" si="3"/>
        <v>480</v>
      </c>
    </row>
    <row r="6" spans="1:10" x14ac:dyDescent="0.25">
      <c r="A6" s="2">
        <v>4</v>
      </c>
      <c r="B6" s="2" t="s">
        <v>11</v>
      </c>
      <c r="C6" s="2" t="s">
        <v>41</v>
      </c>
      <c r="D6" s="2" t="s">
        <v>13</v>
      </c>
      <c r="E6" s="2">
        <v>30</v>
      </c>
      <c r="F6" s="2">
        <v>30</v>
      </c>
      <c r="G6" s="2">
        <f t="shared" si="0"/>
        <v>900</v>
      </c>
      <c r="H6" s="2">
        <f t="shared" si="1"/>
        <v>270</v>
      </c>
      <c r="I6" s="2">
        <f t="shared" si="2"/>
        <v>90</v>
      </c>
      <c r="J6" s="2">
        <f t="shared" si="3"/>
        <v>810</v>
      </c>
    </row>
    <row r="7" spans="1:10" x14ac:dyDescent="0.25">
      <c r="A7" s="2">
        <v>5</v>
      </c>
      <c r="B7" s="2" t="s">
        <v>12</v>
      </c>
      <c r="C7" s="2" t="s">
        <v>42</v>
      </c>
      <c r="D7" s="2" t="s">
        <v>14</v>
      </c>
      <c r="E7" s="2">
        <v>40</v>
      </c>
      <c r="F7" s="2">
        <v>20</v>
      </c>
      <c r="G7" s="2">
        <f t="shared" si="0"/>
        <v>800</v>
      </c>
      <c r="H7" s="2">
        <f t="shared" si="1"/>
        <v>160</v>
      </c>
      <c r="I7" s="2">
        <f t="shared" si="2"/>
        <v>80</v>
      </c>
      <c r="J7" s="2">
        <f t="shared" si="3"/>
        <v>720</v>
      </c>
    </row>
    <row r="9" spans="1:10" x14ac:dyDescent="0.25">
      <c r="B9" t="s">
        <v>41</v>
      </c>
      <c r="C9" s="1">
        <v>0.3</v>
      </c>
      <c r="D9">
        <v>50</v>
      </c>
      <c r="E9" t="s">
        <v>38</v>
      </c>
      <c r="F9" s="1">
        <v>0.2</v>
      </c>
    </row>
    <row r="10" spans="1:10" x14ac:dyDescent="0.25">
      <c r="B10" t="s">
        <v>42</v>
      </c>
      <c r="C10" s="1">
        <v>0.2</v>
      </c>
      <c r="D10">
        <v>30</v>
      </c>
      <c r="E10" t="s">
        <v>38</v>
      </c>
      <c r="F10" s="1">
        <v>0.1</v>
      </c>
    </row>
    <row r="11" spans="1:10" x14ac:dyDescent="0.25">
      <c r="C11" s="1">
        <v>0.1</v>
      </c>
      <c r="D11">
        <v>15</v>
      </c>
      <c r="E11" t="s">
        <v>38</v>
      </c>
      <c r="F11" s="1">
        <v>0.05</v>
      </c>
    </row>
    <row r="12" spans="1:10" x14ac:dyDescent="0.25">
      <c r="F12" s="1">
        <v>0</v>
      </c>
    </row>
  </sheetData>
  <mergeCells count="1">
    <mergeCell ref="A1:J1"/>
  </mergeCells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12"/>
  <sheetViews>
    <sheetView topLeftCell="D1" zoomScale="190" zoomScaleNormal="190" workbookViewId="0">
      <selection activeCell="I2" sqref="I2"/>
    </sheetView>
  </sheetViews>
  <sheetFormatPr defaultRowHeight="15" x14ac:dyDescent="0.25"/>
  <cols>
    <col min="2" max="2" width="19.7109375" bestFit="1" customWidth="1"/>
    <col min="3" max="3" width="12" bestFit="1" customWidth="1"/>
    <col min="4" max="4" width="11.28515625" customWidth="1"/>
    <col min="5" max="5" width="11.5703125" bestFit="1" customWidth="1"/>
    <col min="6" max="6" width="9.7109375" bestFit="1" customWidth="1"/>
    <col min="7" max="7" width="11.140625" customWidth="1"/>
    <col min="8" max="8" width="13.140625" bestFit="1" customWidth="1"/>
    <col min="12" max="12" width="14" bestFit="1" customWidth="1"/>
    <col min="15" max="15" width="11.42578125" bestFit="1" customWidth="1"/>
  </cols>
  <sheetData>
    <row r="1" spans="1:15" x14ac:dyDescent="0.25">
      <c r="A1" t="s">
        <v>0</v>
      </c>
      <c r="B1" t="s">
        <v>16</v>
      </c>
      <c r="C1" t="s">
        <v>17</v>
      </c>
      <c r="D1" t="s">
        <v>23</v>
      </c>
      <c r="E1" t="s">
        <v>27</v>
      </c>
      <c r="F1" t="s">
        <v>28</v>
      </c>
      <c r="G1" t="s">
        <v>29</v>
      </c>
      <c r="H1" t="s">
        <v>30</v>
      </c>
      <c r="I1" t="s">
        <v>31</v>
      </c>
      <c r="J1" t="s">
        <v>32</v>
      </c>
      <c r="K1" t="s">
        <v>33</v>
      </c>
      <c r="L1" t="s">
        <v>37</v>
      </c>
      <c r="M1" t="s">
        <v>34</v>
      </c>
      <c r="N1" t="s">
        <v>35</v>
      </c>
      <c r="O1" t="s">
        <v>36</v>
      </c>
    </row>
    <row r="2" spans="1:15" x14ac:dyDescent="0.25">
      <c r="A2">
        <v>1</v>
      </c>
      <c r="B2" t="s">
        <v>8</v>
      </c>
      <c r="C2" t="s">
        <v>18</v>
      </c>
      <c r="D2" t="s">
        <v>24</v>
      </c>
      <c r="E2">
        <v>30000</v>
      </c>
      <c r="F2">
        <v>30</v>
      </c>
      <c r="G2">
        <v>0</v>
      </c>
      <c r="H2" s="3">
        <f>(E2/30)*F2+(E2/30/9)*G2</f>
        <v>30000</v>
      </c>
      <c r="I2">
        <f>IF(D2="SKILL",E2*50%,IF(D2="SEMISKILL",E2*40%,E2*30%))</f>
        <v>15000</v>
      </c>
    </row>
    <row r="3" spans="1:15" x14ac:dyDescent="0.25">
      <c r="A3">
        <v>2</v>
      </c>
      <c r="B3" t="s">
        <v>9</v>
      </c>
      <c r="C3" t="s">
        <v>19</v>
      </c>
      <c r="D3" t="s">
        <v>25</v>
      </c>
      <c r="E3">
        <v>25000</v>
      </c>
      <c r="F3">
        <v>25</v>
      </c>
      <c r="G3">
        <v>10</v>
      </c>
      <c r="H3" s="3">
        <f t="shared" ref="H3:H6" si="0">(E3/30)*F3+(E3/30/9)*G3</f>
        <v>21759.259259259263</v>
      </c>
      <c r="I3">
        <f t="shared" ref="I3:I6" si="1">IF(D3="SKILL",E3*50%,IF(D3="SEMISKILL",E3*40%,E3*30%))</f>
        <v>10000</v>
      </c>
    </row>
    <row r="4" spans="1:15" x14ac:dyDescent="0.25">
      <c r="A4">
        <v>3</v>
      </c>
      <c r="B4" t="s">
        <v>10</v>
      </c>
      <c r="C4" t="s">
        <v>20</v>
      </c>
      <c r="D4" t="s">
        <v>25</v>
      </c>
      <c r="E4">
        <v>18000</v>
      </c>
      <c r="F4">
        <v>28</v>
      </c>
      <c r="G4">
        <v>20</v>
      </c>
      <c r="H4" s="3">
        <f t="shared" si="0"/>
        <v>18133.333333333332</v>
      </c>
      <c r="I4">
        <f t="shared" si="1"/>
        <v>7200</v>
      </c>
    </row>
    <row r="5" spans="1:15" x14ac:dyDescent="0.25">
      <c r="A5">
        <v>4</v>
      </c>
      <c r="B5" t="s">
        <v>11</v>
      </c>
      <c r="C5" t="s">
        <v>21</v>
      </c>
      <c r="D5" t="s">
        <v>26</v>
      </c>
      <c r="E5">
        <v>12000</v>
      </c>
      <c r="F5">
        <v>26</v>
      </c>
      <c r="G5">
        <v>30</v>
      </c>
      <c r="H5" s="3">
        <f t="shared" si="0"/>
        <v>11733.333333333334</v>
      </c>
      <c r="I5">
        <f t="shared" si="1"/>
        <v>3600</v>
      </c>
    </row>
    <row r="6" spans="1:15" x14ac:dyDescent="0.25">
      <c r="A6">
        <v>5</v>
      </c>
      <c r="B6" t="s">
        <v>12</v>
      </c>
      <c r="C6" t="s">
        <v>22</v>
      </c>
      <c r="D6" t="s">
        <v>26</v>
      </c>
      <c r="E6">
        <v>10000</v>
      </c>
      <c r="F6">
        <v>30</v>
      </c>
      <c r="G6">
        <v>50</v>
      </c>
      <c r="H6" s="3">
        <f t="shared" si="0"/>
        <v>11851.851851851852</v>
      </c>
      <c r="I6">
        <f t="shared" si="1"/>
        <v>3000</v>
      </c>
    </row>
    <row r="7" spans="1:15" x14ac:dyDescent="0.25">
      <c r="F7" t="s">
        <v>46</v>
      </c>
      <c r="G7" t="s">
        <v>45</v>
      </c>
    </row>
    <row r="9" spans="1:15" x14ac:dyDescent="0.25">
      <c r="C9" t="s">
        <v>44</v>
      </c>
      <c r="F9" t="s">
        <v>47</v>
      </c>
    </row>
    <row r="10" spans="1:15" x14ac:dyDescent="0.25">
      <c r="F10" t="s">
        <v>24</v>
      </c>
      <c r="G10" s="1">
        <v>0.5</v>
      </c>
    </row>
    <row r="11" spans="1:15" x14ac:dyDescent="0.25">
      <c r="F11" t="s">
        <v>25</v>
      </c>
      <c r="G11" s="1">
        <v>0.4</v>
      </c>
    </row>
    <row r="12" spans="1:15" x14ac:dyDescent="0.25">
      <c r="F12" t="s">
        <v>26</v>
      </c>
      <c r="G12" s="1">
        <v>0.3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12"/>
  <sheetViews>
    <sheetView topLeftCell="E1" zoomScale="175" zoomScaleNormal="175" workbookViewId="0">
      <selection activeCell="M2" sqref="M2"/>
    </sheetView>
  </sheetViews>
  <sheetFormatPr defaultRowHeight="15" x14ac:dyDescent="0.25"/>
  <cols>
    <col min="2" max="2" width="19.7109375" bestFit="1" customWidth="1"/>
    <col min="3" max="3" width="12" bestFit="1" customWidth="1"/>
    <col min="4" max="4" width="11.28515625" customWidth="1"/>
    <col min="5" max="5" width="11.5703125" bestFit="1" customWidth="1"/>
    <col min="6" max="6" width="9.7109375" bestFit="1" customWidth="1"/>
    <col min="7" max="7" width="11.140625" customWidth="1"/>
    <col min="8" max="8" width="13.140625" bestFit="1" customWidth="1"/>
    <col min="12" max="12" width="14" bestFit="1" customWidth="1"/>
    <col min="15" max="15" width="11.42578125" bestFit="1" customWidth="1"/>
  </cols>
  <sheetData>
    <row r="1" spans="1:15" x14ac:dyDescent="0.25">
      <c r="A1" t="s">
        <v>0</v>
      </c>
      <c r="B1" t="s">
        <v>16</v>
      </c>
      <c r="C1" t="s">
        <v>17</v>
      </c>
      <c r="D1" t="s">
        <v>23</v>
      </c>
      <c r="E1" t="s">
        <v>27</v>
      </c>
      <c r="F1" t="s">
        <v>28</v>
      </c>
      <c r="G1" t="s">
        <v>29</v>
      </c>
      <c r="H1" t="s">
        <v>30</v>
      </c>
      <c r="I1" t="s">
        <v>31</v>
      </c>
      <c r="J1" t="s">
        <v>32</v>
      </c>
      <c r="K1" t="s">
        <v>33</v>
      </c>
      <c r="L1" t="s">
        <v>37</v>
      </c>
      <c r="M1" t="s">
        <v>34</v>
      </c>
      <c r="N1" t="s">
        <v>35</v>
      </c>
      <c r="O1" t="s">
        <v>36</v>
      </c>
    </row>
    <row r="2" spans="1:15" x14ac:dyDescent="0.25">
      <c r="A2">
        <v>1</v>
      </c>
      <c r="B2" t="s">
        <v>8</v>
      </c>
      <c r="C2" t="s">
        <v>18</v>
      </c>
      <c r="D2" t="s">
        <v>24</v>
      </c>
      <c r="E2">
        <v>30000</v>
      </c>
      <c r="F2">
        <f>'PART 10'!AM4</f>
        <v>26</v>
      </c>
      <c r="G2">
        <f>'PART 10'!AN4</f>
        <v>0</v>
      </c>
      <c r="H2" s="3">
        <f>(E2/30)*F2+(E2/30/9)*G2</f>
        <v>26000</v>
      </c>
      <c r="I2">
        <f>IF(D2="SKILL",E2*50%,IF(D2="SEMISKILL",E2*40%,E2*30%))</f>
        <v>15000</v>
      </c>
      <c r="J2">
        <f>IF(D2="SKILL",E2*10%,IF(D2="SEMISKILL",E2*8%,E2*6%))</f>
        <v>3000</v>
      </c>
      <c r="K2" s="3">
        <f>(H2/2)/12</f>
        <v>1083.3333333333333</v>
      </c>
      <c r="L2" s="3">
        <f>SUM(H2:K2)</f>
        <v>45083.333333333336</v>
      </c>
      <c r="M2">
        <f>IF(E2&gt;15000,1800,E2*12%)</f>
        <v>1800</v>
      </c>
      <c r="N2">
        <f>IF(D2="UNSKILL",0,IF(L2&gt;10000,200,IF(L2&gt;7500,175,0)))</f>
        <v>200</v>
      </c>
      <c r="O2" s="3">
        <f>L2-(M2+N2)</f>
        <v>43083.333333333336</v>
      </c>
    </row>
    <row r="3" spans="1:15" x14ac:dyDescent="0.25">
      <c r="A3">
        <v>2</v>
      </c>
      <c r="B3" t="s">
        <v>9</v>
      </c>
      <c r="C3" t="s">
        <v>19</v>
      </c>
      <c r="D3" t="s">
        <v>25</v>
      </c>
      <c r="E3">
        <v>25000</v>
      </c>
      <c r="F3">
        <f>'PART 10'!AM5</f>
        <v>28</v>
      </c>
      <c r="G3">
        <f>'PART 10'!AN5</f>
        <v>20</v>
      </c>
      <c r="H3" s="3">
        <f t="shared" ref="H3:H6" si="0">(E3/30)*F3+(E3/30/9)*G3</f>
        <v>25185.185185185186</v>
      </c>
      <c r="I3">
        <f t="shared" ref="I3:I6" si="1">IF(D3="SKILL",E3*50%,IF(D3="SEMISKILL",E3*40%,E3*30%))</f>
        <v>10000</v>
      </c>
      <c r="J3">
        <f t="shared" ref="J3:J6" si="2">IF(D3="SKILL",E3*10%,IF(D3="SEMISKILL",E3*8%,E3*6%))</f>
        <v>2000</v>
      </c>
      <c r="K3" s="3">
        <f t="shared" ref="K3:K6" si="3">(H3/2)/12</f>
        <v>1049.3827160493827</v>
      </c>
      <c r="L3" s="3">
        <f t="shared" ref="L3:L6" si="4">SUM(H3:K3)</f>
        <v>38234.567901234564</v>
      </c>
      <c r="M3">
        <f t="shared" ref="M3:M6" si="5">IF(E3&gt;15000,1800,E3*12%)</f>
        <v>1800</v>
      </c>
      <c r="N3">
        <f t="shared" ref="N3:N6" si="6">IF(D3="UNSKILL",0,IF(L3&gt;10000,200,IF(L3&gt;7500,175,0)))</f>
        <v>200</v>
      </c>
      <c r="O3" s="3">
        <f t="shared" ref="O3:O6" si="7">L3-(M3+N3)</f>
        <v>36234.567901234564</v>
      </c>
    </row>
    <row r="4" spans="1:15" x14ac:dyDescent="0.25">
      <c r="A4">
        <v>3</v>
      </c>
      <c r="B4" t="s">
        <v>10</v>
      </c>
      <c r="C4" t="s">
        <v>20</v>
      </c>
      <c r="D4" t="s">
        <v>25</v>
      </c>
      <c r="E4">
        <v>18000</v>
      </c>
      <c r="F4">
        <f>'PART 10'!AM6</f>
        <v>29</v>
      </c>
      <c r="G4">
        <f>'PART 10'!AN6</f>
        <v>30</v>
      </c>
      <c r="H4" s="3">
        <f t="shared" si="0"/>
        <v>19400</v>
      </c>
      <c r="I4">
        <f t="shared" si="1"/>
        <v>7200</v>
      </c>
      <c r="J4">
        <f t="shared" si="2"/>
        <v>1440</v>
      </c>
      <c r="K4" s="3">
        <f t="shared" si="3"/>
        <v>808.33333333333337</v>
      </c>
      <c r="L4" s="3">
        <f t="shared" si="4"/>
        <v>28848.333333333332</v>
      </c>
      <c r="M4">
        <f t="shared" si="5"/>
        <v>1800</v>
      </c>
      <c r="N4">
        <f t="shared" si="6"/>
        <v>200</v>
      </c>
      <c r="O4" s="3">
        <f t="shared" si="7"/>
        <v>26848.333333333332</v>
      </c>
    </row>
    <row r="5" spans="1:15" x14ac:dyDescent="0.25">
      <c r="A5">
        <v>4</v>
      </c>
      <c r="B5" t="s">
        <v>11</v>
      </c>
      <c r="C5" t="s">
        <v>21</v>
      </c>
      <c r="D5" t="s">
        <v>26</v>
      </c>
      <c r="E5">
        <v>12000</v>
      </c>
      <c r="F5">
        <f>'PART 10'!AM7</f>
        <v>30</v>
      </c>
      <c r="G5">
        <f>'PART 10'!AN7</f>
        <v>40</v>
      </c>
      <c r="H5" s="3">
        <f t="shared" si="0"/>
        <v>13777.777777777777</v>
      </c>
      <c r="I5">
        <f t="shared" si="1"/>
        <v>3600</v>
      </c>
      <c r="J5">
        <f t="shared" si="2"/>
        <v>720</v>
      </c>
      <c r="K5" s="3">
        <f t="shared" si="3"/>
        <v>574.07407407407402</v>
      </c>
      <c r="L5" s="3">
        <f t="shared" si="4"/>
        <v>18671.85185185185</v>
      </c>
      <c r="M5">
        <f t="shared" si="5"/>
        <v>1440</v>
      </c>
      <c r="N5">
        <f t="shared" si="6"/>
        <v>0</v>
      </c>
      <c r="O5" s="3">
        <f t="shared" si="7"/>
        <v>17231.85185185185</v>
      </c>
    </row>
    <row r="6" spans="1:15" x14ac:dyDescent="0.25">
      <c r="A6">
        <v>5</v>
      </c>
      <c r="B6" t="s">
        <v>12</v>
      </c>
      <c r="C6" t="s">
        <v>22</v>
      </c>
      <c r="D6" t="s">
        <v>26</v>
      </c>
      <c r="E6">
        <v>10000</v>
      </c>
      <c r="F6">
        <f>'PART 10'!AM8</f>
        <v>30</v>
      </c>
      <c r="G6">
        <f>'PART 10'!AN8</f>
        <v>60</v>
      </c>
      <c r="H6" s="3">
        <f t="shared" si="0"/>
        <v>12222.222222222223</v>
      </c>
      <c r="I6">
        <f t="shared" si="1"/>
        <v>3000</v>
      </c>
      <c r="J6">
        <f t="shared" si="2"/>
        <v>600</v>
      </c>
      <c r="K6" s="3">
        <f t="shared" si="3"/>
        <v>509.2592592592593</v>
      </c>
      <c r="L6" s="3">
        <f t="shared" si="4"/>
        <v>16331.481481481482</v>
      </c>
      <c r="M6">
        <f t="shared" si="5"/>
        <v>1200</v>
      </c>
      <c r="N6">
        <f t="shared" si="6"/>
        <v>0</v>
      </c>
      <c r="O6" s="3">
        <f t="shared" si="7"/>
        <v>15131.481481481482</v>
      </c>
    </row>
    <row r="7" spans="1:15" x14ac:dyDescent="0.25">
      <c r="F7" t="s">
        <v>46</v>
      </c>
      <c r="G7" t="s">
        <v>45</v>
      </c>
      <c r="L7" s="3"/>
    </row>
    <row r="9" spans="1:15" x14ac:dyDescent="0.25">
      <c r="C9" t="s">
        <v>44</v>
      </c>
      <c r="F9" t="s">
        <v>47</v>
      </c>
      <c r="J9">
        <v>9600</v>
      </c>
      <c r="L9">
        <v>15000</v>
      </c>
      <c r="M9">
        <v>1800</v>
      </c>
      <c r="N9">
        <v>10000</v>
      </c>
      <c r="O9">
        <v>200</v>
      </c>
    </row>
    <row r="10" spans="1:15" x14ac:dyDescent="0.25">
      <c r="F10" t="s">
        <v>24</v>
      </c>
      <c r="G10" s="1">
        <v>0.5</v>
      </c>
      <c r="J10">
        <f>J2*12</f>
        <v>36000</v>
      </c>
      <c r="M10">
        <v>1800</v>
      </c>
      <c r="N10">
        <v>7500</v>
      </c>
      <c r="O10">
        <v>175</v>
      </c>
    </row>
    <row r="11" spans="1:15" x14ac:dyDescent="0.25">
      <c r="F11" t="s">
        <v>25</v>
      </c>
      <c r="G11" s="1">
        <v>0.4</v>
      </c>
      <c r="O11">
        <v>0</v>
      </c>
    </row>
    <row r="12" spans="1:15" x14ac:dyDescent="0.25">
      <c r="F12" t="s">
        <v>26</v>
      </c>
      <c r="G12" s="1">
        <v>0.3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AG8"/>
  <sheetViews>
    <sheetView topLeftCell="D1" zoomScale="190" zoomScaleNormal="190" workbookViewId="0">
      <selection activeCell="O2" sqref="O2:O7"/>
    </sheetView>
  </sheetViews>
  <sheetFormatPr defaultRowHeight="15" x14ac:dyDescent="0.25"/>
  <cols>
    <col min="1" max="1" width="6.42578125" bestFit="1" customWidth="1"/>
    <col min="2" max="2" width="19.140625" bestFit="1" customWidth="1"/>
    <col min="3" max="3" width="13.42578125" customWidth="1"/>
    <col min="4" max="33" width="3" customWidth="1"/>
  </cols>
  <sheetData>
    <row r="2" spans="1:33" ht="31.5" customHeight="1" x14ac:dyDescent="0.25">
      <c r="A2" s="2"/>
      <c r="B2" s="2"/>
      <c r="C2" s="2" t="s">
        <v>48</v>
      </c>
      <c r="D2" s="5" t="str">
        <f>TEXT(D3,"DDD")</f>
        <v>Wed</v>
      </c>
      <c r="E2" s="5" t="str">
        <f t="shared" ref="E2:AG2" si="0">TEXT(E3,"DDD")</f>
        <v>Thu</v>
      </c>
      <c r="F2" s="5" t="str">
        <f t="shared" si="0"/>
        <v>Fri</v>
      </c>
      <c r="G2" s="5" t="str">
        <f t="shared" si="0"/>
        <v>Sat</v>
      </c>
      <c r="H2" s="5" t="str">
        <f t="shared" si="0"/>
        <v>Sun</v>
      </c>
      <c r="I2" s="5" t="str">
        <f t="shared" si="0"/>
        <v>Mon</v>
      </c>
      <c r="J2" s="5" t="str">
        <f t="shared" si="0"/>
        <v>Tue</v>
      </c>
      <c r="K2" s="5" t="str">
        <f t="shared" si="0"/>
        <v>Wed</v>
      </c>
      <c r="L2" s="5" t="str">
        <f t="shared" si="0"/>
        <v>Thu</v>
      </c>
      <c r="M2" s="5" t="str">
        <f t="shared" si="0"/>
        <v>Fri</v>
      </c>
      <c r="N2" s="5" t="str">
        <f t="shared" si="0"/>
        <v>Sat</v>
      </c>
      <c r="O2" s="5" t="str">
        <f t="shared" si="0"/>
        <v>Sun</v>
      </c>
      <c r="P2" s="5" t="str">
        <f t="shared" si="0"/>
        <v>Mon</v>
      </c>
      <c r="Q2" s="5" t="str">
        <f t="shared" si="0"/>
        <v>Tue</v>
      </c>
      <c r="R2" s="5" t="str">
        <f t="shared" si="0"/>
        <v>Wed</v>
      </c>
      <c r="S2" s="5" t="str">
        <f t="shared" si="0"/>
        <v>Thu</v>
      </c>
      <c r="T2" s="5" t="str">
        <f t="shared" si="0"/>
        <v>Fri</v>
      </c>
      <c r="U2" s="5" t="str">
        <f t="shared" si="0"/>
        <v>Sat</v>
      </c>
      <c r="V2" s="5" t="str">
        <f t="shared" si="0"/>
        <v>Sun</v>
      </c>
      <c r="W2" s="5" t="str">
        <f t="shared" si="0"/>
        <v>Mon</v>
      </c>
      <c r="X2" s="5" t="str">
        <f t="shared" si="0"/>
        <v>Tue</v>
      </c>
      <c r="Y2" s="5" t="str">
        <f t="shared" si="0"/>
        <v>Wed</v>
      </c>
      <c r="Z2" s="5" t="str">
        <f t="shared" si="0"/>
        <v>Thu</v>
      </c>
      <c r="AA2" s="5" t="str">
        <f t="shared" si="0"/>
        <v>Fri</v>
      </c>
      <c r="AB2" s="5" t="str">
        <f t="shared" si="0"/>
        <v>Sat</v>
      </c>
      <c r="AC2" s="5" t="str">
        <f t="shared" si="0"/>
        <v>Sun</v>
      </c>
      <c r="AD2" s="5" t="str">
        <f t="shared" si="0"/>
        <v>Mon</v>
      </c>
      <c r="AE2" s="5" t="str">
        <f t="shared" si="0"/>
        <v>Tue</v>
      </c>
      <c r="AF2" s="5" t="str">
        <f t="shared" si="0"/>
        <v>Wed</v>
      </c>
      <c r="AG2" s="5" t="str">
        <f t="shared" si="0"/>
        <v>Thu</v>
      </c>
    </row>
    <row r="3" spans="1:33" x14ac:dyDescent="0.25">
      <c r="A3" s="2" t="s">
        <v>0</v>
      </c>
      <c r="B3" s="2" t="s">
        <v>16</v>
      </c>
      <c r="C3" s="2" t="s">
        <v>17</v>
      </c>
      <c r="D3" s="4">
        <v>43922</v>
      </c>
      <c r="E3" s="4">
        <v>43923</v>
      </c>
      <c r="F3" s="4">
        <v>43924</v>
      </c>
      <c r="G3" s="4">
        <v>43925</v>
      </c>
      <c r="H3" s="4">
        <v>43926</v>
      </c>
      <c r="I3" s="4">
        <v>43927</v>
      </c>
      <c r="J3" s="4">
        <v>43928</v>
      </c>
      <c r="K3" s="4">
        <v>43929</v>
      </c>
      <c r="L3" s="4">
        <v>43930</v>
      </c>
      <c r="M3" s="4">
        <v>43931</v>
      </c>
      <c r="N3" s="4">
        <v>43932</v>
      </c>
      <c r="O3" s="4">
        <v>43933</v>
      </c>
      <c r="P3" s="4">
        <v>43934</v>
      </c>
      <c r="Q3" s="4">
        <v>43935</v>
      </c>
      <c r="R3" s="4">
        <v>43936</v>
      </c>
      <c r="S3" s="4">
        <v>43937</v>
      </c>
      <c r="T3" s="4">
        <v>43938</v>
      </c>
      <c r="U3" s="4">
        <v>43939</v>
      </c>
      <c r="V3" s="4">
        <v>43940</v>
      </c>
      <c r="W3" s="4">
        <v>43941</v>
      </c>
      <c r="X3" s="4">
        <v>43942</v>
      </c>
      <c r="Y3" s="4">
        <v>43943</v>
      </c>
      <c r="Z3" s="4">
        <v>43944</v>
      </c>
      <c r="AA3" s="4">
        <v>43945</v>
      </c>
      <c r="AB3" s="4">
        <v>43946</v>
      </c>
      <c r="AC3" s="4">
        <v>43947</v>
      </c>
      <c r="AD3" s="4">
        <v>43948</v>
      </c>
      <c r="AE3" s="4">
        <v>43949</v>
      </c>
      <c r="AF3" s="4">
        <v>43950</v>
      </c>
      <c r="AG3" s="4">
        <v>43951</v>
      </c>
    </row>
    <row r="4" spans="1:33" x14ac:dyDescent="0.25">
      <c r="A4" s="2">
        <v>1</v>
      </c>
      <c r="B4" s="2" t="s">
        <v>8</v>
      </c>
      <c r="C4" s="2" t="s">
        <v>18</v>
      </c>
      <c r="D4" s="2" t="s">
        <v>49</v>
      </c>
      <c r="E4" s="2" t="s">
        <v>49</v>
      </c>
      <c r="F4" s="2" t="s">
        <v>50</v>
      </c>
      <c r="G4" s="2" t="s">
        <v>49</v>
      </c>
      <c r="H4" s="2" t="s">
        <v>53</v>
      </c>
      <c r="I4" s="2" t="s">
        <v>49</v>
      </c>
      <c r="J4" s="2" t="s">
        <v>50</v>
      </c>
      <c r="K4" s="2" t="s">
        <v>49</v>
      </c>
      <c r="L4" s="2" t="s">
        <v>51</v>
      </c>
      <c r="M4" s="2" t="s">
        <v>49</v>
      </c>
      <c r="N4" s="2" t="s">
        <v>52</v>
      </c>
      <c r="O4" s="2" t="s">
        <v>53</v>
      </c>
      <c r="P4" s="2" t="s">
        <v>49</v>
      </c>
      <c r="Q4" s="2" t="s">
        <v>49</v>
      </c>
      <c r="R4" s="2" t="s">
        <v>49</v>
      </c>
      <c r="S4" s="2" t="s">
        <v>49</v>
      </c>
      <c r="T4" s="2" t="s">
        <v>49</v>
      </c>
      <c r="U4" s="2" t="s">
        <v>49</v>
      </c>
      <c r="V4" s="2" t="s">
        <v>53</v>
      </c>
      <c r="W4" s="2" t="s">
        <v>49</v>
      </c>
      <c r="X4" s="2" t="s">
        <v>49</v>
      </c>
      <c r="Y4" s="2" t="s">
        <v>49</v>
      </c>
      <c r="Z4" s="2" t="s">
        <v>49</v>
      </c>
      <c r="AA4" s="2" t="s">
        <v>49</v>
      </c>
      <c r="AB4" s="2" t="s">
        <v>49</v>
      </c>
      <c r="AC4" s="2" t="s">
        <v>53</v>
      </c>
      <c r="AD4" s="2" t="s">
        <v>49</v>
      </c>
      <c r="AE4" s="2" t="s">
        <v>49</v>
      </c>
      <c r="AF4" s="2" t="s">
        <v>49</v>
      </c>
      <c r="AG4" s="2" t="s">
        <v>49</v>
      </c>
    </row>
    <row r="5" spans="1:33" x14ac:dyDescent="0.25">
      <c r="A5" s="2">
        <v>2</v>
      </c>
      <c r="B5" s="2" t="s">
        <v>9</v>
      </c>
      <c r="C5" s="2" t="s">
        <v>19</v>
      </c>
      <c r="D5" s="2" t="s">
        <v>49</v>
      </c>
      <c r="E5" s="2" t="s">
        <v>49</v>
      </c>
      <c r="F5" s="2" t="s">
        <v>49</v>
      </c>
      <c r="G5" s="2" t="s">
        <v>49</v>
      </c>
      <c r="H5" s="2" t="s">
        <v>53</v>
      </c>
      <c r="I5" s="2" t="s">
        <v>49</v>
      </c>
      <c r="J5" s="2" t="s">
        <v>49</v>
      </c>
      <c r="K5" s="2" t="s">
        <v>49</v>
      </c>
      <c r="L5" s="2" t="s">
        <v>49</v>
      </c>
      <c r="M5" s="2" t="s">
        <v>49</v>
      </c>
      <c r="N5" s="2" t="s">
        <v>49</v>
      </c>
      <c r="O5" s="2" t="s">
        <v>53</v>
      </c>
      <c r="P5" s="2" t="s">
        <v>49</v>
      </c>
      <c r="Q5" s="2" t="s">
        <v>49</v>
      </c>
      <c r="R5" s="2" t="s">
        <v>50</v>
      </c>
      <c r="S5" s="2" t="s">
        <v>49</v>
      </c>
      <c r="T5" s="2" t="s">
        <v>49</v>
      </c>
      <c r="U5" s="2" t="s">
        <v>49</v>
      </c>
      <c r="V5" s="2" t="s">
        <v>53</v>
      </c>
      <c r="W5" s="2" t="s">
        <v>49</v>
      </c>
      <c r="X5" s="2" t="s">
        <v>49</v>
      </c>
      <c r="Y5" s="2" t="s">
        <v>49</v>
      </c>
      <c r="Z5" s="2" t="s">
        <v>49</v>
      </c>
      <c r="AA5" s="2" t="s">
        <v>49</v>
      </c>
      <c r="AB5" s="2" t="s">
        <v>49</v>
      </c>
      <c r="AC5" s="2" t="s">
        <v>53</v>
      </c>
      <c r="AD5" s="2" t="s">
        <v>49</v>
      </c>
      <c r="AE5" s="2" t="s">
        <v>49</v>
      </c>
      <c r="AF5" s="2" t="s">
        <v>49</v>
      </c>
      <c r="AG5" s="2" t="s">
        <v>49</v>
      </c>
    </row>
    <row r="6" spans="1:33" x14ac:dyDescent="0.25">
      <c r="A6" s="2">
        <v>3</v>
      </c>
      <c r="B6" s="2" t="s">
        <v>10</v>
      </c>
      <c r="C6" s="2" t="s">
        <v>20</v>
      </c>
      <c r="D6" s="2" t="s">
        <v>49</v>
      </c>
      <c r="E6" s="2" t="s">
        <v>49</v>
      </c>
      <c r="F6" s="2" t="s">
        <v>49</v>
      </c>
      <c r="G6" s="2" t="s">
        <v>49</v>
      </c>
      <c r="H6" s="2" t="s">
        <v>53</v>
      </c>
      <c r="I6" s="2" t="s">
        <v>49</v>
      </c>
      <c r="J6" s="2" t="s">
        <v>49</v>
      </c>
      <c r="K6" s="2" t="s">
        <v>49</v>
      </c>
      <c r="L6" s="2" t="s">
        <v>49</v>
      </c>
      <c r="M6" s="2" t="s">
        <v>49</v>
      </c>
      <c r="N6" s="2" t="s">
        <v>49</v>
      </c>
      <c r="O6" s="2" t="s">
        <v>53</v>
      </c>
      <c r="P6" s="2" t="s">
        <v>49</v>
      </c>
      <c r="Q6" s="2" t="s">
        <v>49</v>
      </c>
      <c r="R6" s="2" t="s">
        <v>49</v>
      </c>
      <c r="S6" s="2" t="s">
        <v>49</v>
      </c>
      <c r="T6" s="2" t="s">
        <v>49</v>
      </c>
      <c r="U6" s="2" t="s">
        <v>49</v>
      </c>
      <c r="V6" s="2" t="s">
        <v>53</v>
      </c>
      <c r="W6" s="2" t="s">
        <v>50</v>
      </c>
      <c r="X6" s="2" t="s">
        <v>49</v>
      </c>
      <c r="Y6" s="2" t="s">
        <v>49</v>
      </c>
      <c r="Z6" s="2" t="s">
        <v>49</v>
      </c>
      <c r="AA6" s="2" t="s">
        <v>49</v>
      </c>
      <c r="AB6" s="2" t="s">
        <v>49</v>
      </c>
      <c r="AC6" s="2" t="s">
        <v>53</v>
      </c>
      <c r="AD6" s="2" t="s">
        <v>49</v>
      </c>
      <c r="AE6" s="2" t="s">
        <v>49</v>
      </c>
      <c r="AF6" s="2" t="s">
        <v>49</v>
      </c>
      <c r="AG6" s="2" t="s">
        <v>49</v>
      </c>
    </row>
    <row r="7" spans="1:33" x14ac:dyDescent="0.25">
      <c r="A7" s="2">
        <v>4</v>
      </c>
      <c r="B7" s="2" t="s">
        <v>11</v>
      </c>
      <c r="C7" s="2" t="s">
        <v>21</v>
      </c>
      <c r="D7" s="2" t="s">
        <v>49</v>
      </c>
      <c r="E7" s="2" t="s">
        <v>49</v>
      </c>
      <c r="F7" s="2" t="s">
        <v>49</v>
      </c>
      <c r="G7" s="2" t="s">
        <v>49</v>
      </c>
      <c r="H7" s="2" t="s">
        <v>53</v>
      </c>
      <c r="I7" s="2" t="s">
        <v>49</v>
      </c>
      <c r="J7" s="2" t="s">
        <v>49</v>
      </c>
      <c r="K7" s="2" t="s">
        <v>49</v>
      </c>
      <c r="L7" s="2" t="s">
        <v>49</v>
      </c>
      <c r="M7" s="2" t="s">
        <v>49</v>
      </c>
      <c r="N7" s="2" t="s">
        <v>49</v>
      </c>
      <c r="O7" s="2" t="s">
        <v>53</v>
      </c>
      <c r="P7" s="2" t="s">
        <v>49</v>
      </c>
      <c r="Q7" s="2" t="s">
        <v>49</v>
      </c>
      <c r="R7" s="2" t="s">
        <v>49</v>
      </c>
      <c r="S7" s="2" t="s">
        <v>49</v>
      </c>
      <c r="T7" s="2" t="s">
        <v>49</v>
      </c>
      <c r="U7" s="2" t="s">
        <v>49</v>
      </c>
      <c r="V7" s="2" t="s">
        <v>53</v>
      </c>
      <c r="W7" s="2" t="s">
        <v>49</v>
      </c>
      <c r="X7" s="2" t="s">
        <v>49</v>
      </c>
      <c r="Y7" s="2" t="s">
        <v>49</v>
      </c>
      <c r="Z7" s="2" t="s">
        <v>49</v>
      </c>
      <c r="AA7" s="2" t="s">
        <v>49</v>
      </c>
      <c r="AB7" s="2" t="s">
        <v>49</v>
      </c>
      <c r="AC7" s="2" t="s">
        <v>53</v>
      </c>
      <c r="AD7" s="2" t="s">
        <v>49</v>
      </c>
      <c r="AE7" s="2" t="s">
        <v>49</v>
      </c>
      <c r="AF7" s="2" t="s">
        <v>49</v>
      </c>
      <c r="AG7" s="2" t="s">
        <v>49</v>
      </c>
    </row>
    <row r="8" spans="1:33" x14ac:dyDescent="0.25">
      <c r="A8" s="2">
        <v>5</v>
      </c>
      <c r="B8" s="2" t="s">
        <v>12</v>
      </c>
      <c r="C8" s="2" t="s">
        <v>22</v>
      </c>
      <c r="D8" s="2" t="s">
        <v>49</v>
      </c>
      <c r="E8" s="2" t="s">
        <v>49</v>
      </c>
      <c r="F8" s="2" t="s">
        <v>49</v>
      </c>
      <c r="G8" s="2" t="s">
        <v>49</v>
      </c>
      <c r="H8" s="2" t="s">
        <v>53</v>
      </c>
      <c r="I8" s="2" t="s">
        <v>49</v>
      </c>
      <c r="J8" s="2" t="s">
        <v>49</v>
      </c>
      <c r="K8" s="2" t="s">
        <v>49</v>
      </c>
      <c r="L8" s="2" t="s">
        <v>49</v>
      </c>
      <c r="M8" s="2" t="s">
        <v>49</v>
      </c>
      <c r="N8" s="2" t="s">
        <v>49</v>
      </c>
      <c r="O8" s="2" t="s">
        <v>53</v>
      </c>
      <c r="P8" s="2" t="s">
        <v>49</v>
      </c>
      <c r="Q8" s="2" t="s">
        <v>49</v>
      </c>
      <c r="R8" s="2" t="s">
        <v>49</v>
      </c>
      <c r="S8" s="2" t="s">
        <v>49</v>
      </c>
      <c r="T8" s="2" t="s">
        <v>49</v>
      </c>
      <c r="U8" s="2" t="s">
        <v>49</v>
      </c>
      <c r="V8" s="2" t="s">
        <v>53</v>
      </c>
      <c r="W8" s="2" t="s">
        <v>49</v>
      </c>
      <c r="X8" s="2" t="s">
        <v>49</v>
      </c>
      <c r="Y8" s="2" t="s">
        <v>49</v>
      </c>
      <c r="Z8" s="2" t="s">
        <v>49</v>
      </c>
      <c r="AA8" s="2" t="s">
        <v>49</v>
      </c>
      <c r="AB8" s="2" t="s">
        <v>49</v>
      </c>
      <c r="AC8" s="2" t="s">
        <v>53</v>
      </c>
      <c r="AD8" s="2" t="s">
        <v>49</v>
      </c>
      <c r="AE8" s="2" t="s">
        <v>49</v>
      </c>
      <c r="AF8" s="2" t="s">
        <v>49</v>
      </c>
      <c r="AG8" s="2" t="s">
        <v>49</v>
      </c>
    </row>
  </sheetData>
  <conditionalFormatting sqref="D4:AG8">
    <cfRule type="cellIs" dxfId="15" priority="2" operator="equal">
      <formula>"AB"</formula>
    </cfRule>
    <cfRule type="cellIs" dxfId="14" priority="3" operator="equal">
      <formula>"P"</formula>
    </cfRule>
  </conditionalFormatting>
  <conditionalFormatting sqref="D2:AG8">
    <cfRule type="expression" dxfId="13" priority="1">
      <formula>D$2="SUN"</formula>
    </cfRule>
  </conditionalFormatting>
  <dataValidations count="1">
    <dataValidation type="list" allowBlank="1" showInputMessage="1" showErrorMessage="1" sqref="D4:AG8">
      <formula1>"P,AB,SL,PL,W.OFF"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AN16"/>
  <sheetViews>
    <sheetView zoomScale="190" zoomScaleNormal="190" workbookViewId="0">
      <selection activeCell="H2" sqref="H2:H7"/>
    </sheetView>
  </sheetViews>
  <sheetFormatPr defaultRowHeight="15" x14ac:dyDescent="0.25"/>
  <cols>
    <col min="1" max="1" width="6.42578125" bestFit="1" customWidth="1"/>
    <col min="2" max="2" width="19.140625" bestFit="1" customWidth="1"/>
    <col min="3" max="3" width="13.42578125" customWidth="1"/>
    <col min="4" max="33" width="3" customWidth="1"/>
    <col min="40" max="40" width="10.140625" bestFit="1" customWidth="1"/>
  </cols>
  <sheetData>
    <row r="2" spans="1:40" ht="31.5" customHeight="1" x14ac:dyDescent="0.25">
      <c r="A2" s="2"/>
      <c r="B2" s="2"/>
      <c r="C2" s="2" t="s">
        <v>48</v>
      </c>
      <c r="D2" s="5" t="str">
        <f>TEXT(D3,"DDD")</f>
        <v>Wed</v>
      </c>
      <c r="E2" s="5" t="str">
        <f t="shared" ref="E2:AG2" si="0">TEXT(E3,"DDD")</f>
        <v>Thu</v>
      </c>
      <c r="F2" s="5" t="str">
        <f t="shared" si="0"/>
        <v>Fri</v>
      </c>
      <c r="G2" s="5" t="str">
        <f t="shared" si="0"/>
        <v>Sat</v>
      </c>
      <c r="H2" s="5" t="str">
        <f t="shared" si="0"/>
        <v>Sun</v>
      </c>
      <c r="I2" s="5" t="str">
        <f t="shared" si="0"/>
        <v>Mon</v>
      </c>
      <c r="J2" s="5" t="str">
        <f t="shared" si="0"/>
        <v>Tue</v>
      </c>
      <c r="K2" s="5" t="str">
        <f t="shared" si="0"/>
        <v>Wed</v>
      </c>
      <c r="L2" s="5" t="str">
        <f t="shared" si="0"/>
        <v>Thu</v>
      </c>
      <c r="M2" s="5" t="str">
        <f t="shared" si="0"/>
        <v>Fri</v>
      </c>
      <c r="N2" s="5" t="str">
        <f t="shared" si="0"/>
        <v>Sat</v>
      </c>
      <c r="O2" s="5" t="str">
        <f t="shared" si="0"/>
        <v>Sun</v>
      </c>
      <c r="P2" s="5" t="str">
        <f t="shared" si="0"/>
        <v>Mon</v>
      </c>
      <c r="Q2" s="5" t="str">
        <f t="shared" si="0"/>
        <v>Tue</v>
      </c>
      <c r="R2" s="5" t="str">
        <f t="shared" si="0"/>
        <v>Wed</v>
      </c>
      <c r="S2" s="5" t="str">
        <f t="shared" si="0"/>
        <v>Thu</v>
      </c>
      <c r="T2" s="5" t="str">
        <f t="shared" si="0"/>
        <v>Fri</v>
      </c>
      <c r="U2" s="5" t="str">
        <f t="shared" si="0"/>
        <v>Sat</v>
      </c>
      <c r="V2" s="5" t="str">
        <f t="shared" si="0"/>
        <v>Sun</v>
      </c>
      <c r="W2" s="5" t="str">
        <f t="shared" si="0"/>
        <v>Mon</v>
      </c>
      <c r="X2" s="5" t="str">
        <f t="shared" si="0"/>
        <v>Tue</v>
      </c>
      <c r="Y2" s="5" t="str">
        <f t="shared" si="0"/>
        <v>Wed</v>
      </c>
      <c r="Z2" s="5" t="str">
        <f t="shared" si="0"/>
        <v>Thu</v>
      </c>
      <c r="AA2" s="5" t="str">
        <f t="shared" si="0"/>
        <v>Fri</v>
      </c>
      <c r="AB2" s="5" t="str">
        <f t="shared" si="0"/>
        <v>Sat</v>
      </c>
      <c r="AC2" s="5" t="str">
        <f t="shared" si="0"/>
        <v>Sun</v>
      </c>
      <c r="AD2" s="5" t="str">
        <f t="shared" si="0"/>
        <v>Mon</v>
      </c>
      <c r="AE2" s="5" t="str">
        <f t="shared" si="0"/>
        <v>Tue</v>
      </c>
      <c r="AF2" s="5" t="str">
        <f t="shared" si="0"/>
        <v>Wed</v>
      </c>
      <c r="AG2" s="5" t="str">
        <f t="shared" si="0"/>
        <v>Thu</v>
      </c>
      <c r="AH2" s="69" t="s">
        <v>58</v>
      </c>
      <c r="AI2" s="70"/>
      <c r="AJ2" s="70"/>
      <c r="AK2" s="70"/>
      <c r="AL2" s="70"/>
      <c r="AM2" s="70"/>
      <c r="AN2" s="70"/>
    </row>
    <row r="3" spans="1:40" x14ac:dyDescent="0.25">
      <c r="A3" s="2" t="s">
        <v>0</v>
      </c>
      <c r="B3" s="2" t="s">
        <v>16</v>
      </c>
      <c r="C3" s="2" t="s">
        <v>17</v>
      </c>
      <c r="D3" s="4">
        <v>43922</v>
      </c>
      <c r="E3" s="4">
        <v>43923</v>
      </c>
      <c r="F3" s="4">
        <v>43924</v>
      </c>
      <c r="G3" s="4">
        <v>43925</v>
      </c>
      <c r="H3" s="4">
        <v>43926</v>
      </c>
      <c r="I3" s="4">
        <v>43927</v>
      </c>
      <c r="J3" s="4">
        <v>43928</v>
      </c>
      <c r="K3" s="4">
        <v>43929</v>
      </c>
      <c r="L3" s="4">
        <v>43930</v>
      </c>
      <c r="M3" s="4">
        <v>43931</v>
      </c>
      <c r="N3" s="4">
        <v>43932</v>
      </c>
      <c r="O3" s="4">
        <v>43933</v>
      </c>
      <c r="P3" s="4">
        <v>43934</v>
      </c>
      <c r="Q3" s="4">
        <v>43935</v>
      </c>
      <c r="R3" s="4">
        <v>43936</v>
      </c>
      <c r="S3" s="4">
        <v>43937</v>
      </c>
      <c r="T3" s="4">
        <v>43938</v>
      </c>
      <c r="U3" s="4">
        <v>43939</v>
      </c>
      <c r="V3" s="4">
        <v>43940</v>
      </c>
      <c r="W3" s="4">
        <v>43941</v>
      </c>
      <c r="X3" s="4">
        <v>43942</v>
      </c>
      <c r="Y3" s="4">
        <v>43943</v>
      </c>
      <c r="Z3" s="4">
        <v>43944</v>
      </c>
      <c r="AA3" s="4">
        <v>43945</v>
      </c>
      <c r="AB3" s="4">
        <v>43946</v>
      </c>
      <c r="AC3" s="4">
        <v>43947</v>
      </c>
      <c r="AD3" s="4">
        <v>43948</v>
      </c>
      <c r="AE3" s="4">
        <v>43949</v>
      </c>
      <c r="AF3" s="4">
        <v>43950</v>
      </c>
      <c r="AG3" s="4">
        <v>43951</v>
      </c>
      <c r="AH3" s="2" t="s">
        <v>54</v>
      </c>
      <c r="AI3" s="2" t="s">
        <v>55</v>
      </c>
      <c r="AJ3" s="2" t="s">
        <v>56</v>
      </c>
      <c r="AK3" s="2" t="s">
        <v>52</v>
      </c>
      <c r="AL3" s="2" t="s">
        <v>51</v>
      </c>
      <c r="AM3" s="2" t="s">
        <v>57</v>
      </c>
      <c r="AN3" s="6" t="s">
        <v>29</v>
      </c>
    </row>
    <row r="4" spans="1:40" x14ac:dyDescent="0.25">
      <c r="A4" s="2">
        <v>1</v>
      </c>
      <c r="B4" s="2" t="s">
        <v>8</v>
      </c>
      <c r="C4" s="2" t="s">
        <v>18</v>
      </c>
      <c r="D4" s="2" t="s">
        <v>49</v>
      </c>
      <c r="E4" s="2" t="s">
        <v>49</v>
      </c>
      <c r="F4" s="2" t="s">
        <v>50</v>
      </c>
      <c r="G4" s="2" t="s">
        <v>49</v>
      </c>
      <c r="H4" s="2" t="s">
        <v>53</v>
      </c>
      <c r="I4" s="2" t="s">
        <v>49</v>
      </c>
      <c r="J4" s="2" t="s">
        <v>50</v>
      </c>
      <c r="K4" s="2" t="s">
        <v>49</v>
      </c>
      <c r="L4" s="2" t="s">
        <v>51</v>
      </c>
      <c r="M4" s="2" t="s">
        <v>49</v>
      </c>
      <c r="N4" s="2" t="s">
        <v>52</v>
      </c>
      <c r="O4" s="2" t="s">
        <v>53</v>
      </c>
      <c r="P4" s="2" t="s">
        <v>49</v>
      </c>
      <c r="Q4" s="2" t="s">
        <v>49</v>
      </c>
      <c r="R4" s="2" t="s">
        <v>49</v>
      </c>
      <c r="S4" s="2" t="s">
        <v>49</v>
      </c>
      <c r="T4" s="2" t="s">
        <v>49</v>
      </c>
      <c r="U4" s="2" t="s">
        <v>49</v>
      </c>
      <c r="V4" s="2" t="s">
        <v>53</v>
      </c>
      <c r="W4" s="2" t="s">
        <v>49</v>
      </c>
      <c r="X4" s="2" t="s">
        <v>49</v>
      </c>
      <c r="Y4" s="2" t="s">
        <v>49</v>
      </c>
      <c r="Z4" s="2" t="s">
        <v>50</v>
      </c>
      <c r="AA4" s="2" t="s">
        <v>49</v>
      </c>
      <c r="AB4" s="2" t="s">
        <v>49</v>
      </c>
      <c r="AC4" s="2" t="s">
        <v>53</v>
      </c>
      <c r="AD4" s="2" t="s">
        <v>49</v>
      </c>
      <c r="AE4" s="2" t="s">
        <v>52</v>
      </c>
      <c r="AF4" s="2" t="s">
        <v>50</v>
      </c>
      <c r="AG4" s="2" t="s">
        <v>49</v>
      </c>
      <c r="AH4" s="2">
        <f>COUNTIF(D4:AG4,"P")</f>
        <v>19</v>
      </c>
      <c r="AI4" s="2">
        <f>COUNTIF(D4:AG4,"AB")</f>
        <v>4</v>
      </c>
      <c r="AJ4" s="2">
        <f>COUNTIF(D4:AG4,"W.OFF")</f>
        <v>4</v>
      </c>
      <c r="AK4" s="2">
        <f>COUNTIF(D4:AG4,"SL")</f>
        <v>2</v>
      </c>
      <c r="AL4" s="2">
        <f>COUNTIF(D4:AG4,"PL")</f>
        <v>1</v>
      </c>
      <c r="AM4" s="2">
        <f>AH4+AJ4+AK4+AL4</f>
        <v>26</v>
      </c>
      <c r="AN4" s="2">
        <v>0</v>
      </c>
    </row>
    <row r="5" spans="1:40" x14ac:dyDescent="0.25">
      <c r="A5" s="2">
        <v>2</v>
      </c>
      <c r="B5" s="2" t="s">
        <v>9</v>
      </c>
      <c r="C5" s="2" t="s">
        <v>19</v>
      </c>
      <c r="D5" s="2" t="s">
        <v>49</v>
      </c>
      <c r="E5" s="2" t="s">
        <v>49</v>
      </c>
      <c r="F5" s="2" t="s">
        <v>49</v>
      </c>
      <c r="G5" s="2" t="s">
        <v>49</v>
      </c>
      <c r="H5" s="2" t="s">
        <v>53</v>
      </c>
      <c r="I5" s="2" t="s">
        <v>49</v>
      </c>
      <c r="J5" s="2" t="s">
        <v>49</v>
      </c>
      <c r="K5" s="2" t="s">
        <v>49</v>
      </c>
      <c r="L5" s="2" t="s">
        <v>49</v>
      </c>
      <c r="M5" s="2" t="s">
        <v>49</v>
      </c>
      <c r="N5" s="2" t="s">
        <v>49</v>
      </c>
      <c r="O5" s="2" t="s">
        <v>53</v>
      </c>
      <c r="P5" s="2" t="s">
        <v>49</v>
      </c>
      <c r="Q5" s="2" t="s">
        <v>49</v>
      </c>
      <c r="R5" s="2" t="s">
        <v>50</v>
      </c>
      <c r="S5" s="2" t="s">
        <v>49</v>
      </c>
      <c r="T5" s="2" t="s">
        <v>49</v>
      </c>
      <c r="U5" s="2" t="s">
        <v>49</v>
      </c>
      <c r="V5" s="2" t="s">
        <v>53</v>
      </c>
      <c r="W5" s="2" t="s">
        <v>49</v>
      </c>
      <c r="X5" s="2" t="s">
        <v>49</v>
      </c>
      <c r="Y5" s="2" t="s">
        <v>49</v>
      </c>
      <c r="Z5" s="2" t="s">
        <v>50</v>
      </c>
      <c r="AA5" s="2" t="s">
        <v>49</v>
      </c>
      <c r="AB5" s="2" t="s">
        <v>49</v>
      </c>
      <c r="AC5" s="2" t="s">
        <v>53</v>
      </c>
      <c r="AD5" s="2" t="s">
        <v>49</v>
      </c>
      <c r="AE5" s="2" t="s">
        <v>49</v>
      </c>
      <c r="AF5" s="2" t="s">
        <v>49</v>
      </c>
      <c r="AG5" s="2" t="s">
        <v>49</v>
      </c>
      <c r="AH5" s="2">
        <f t="shared" ref="AH5:AH8" si="1">COUNTIF(D5:AG5,"P")</f>
        <v>24</v>
      </c>
      <c r="AI5" s="2">
        <f t="shared" ref="AI5:AI8" si="2">COUNTIF(D5:AG5,"AB")</f>
        <v>2</v>
      </c>
      <c r="AJ5" s="2">
        <f t="shared" ref="AJ5:AJ8" si="3">COUNTIF(D5:AG5,"W.OFF")</f>
        <v>4</v>
      </c>
      <c r="AK5" s="2">
        <f t="shared" ref="AK5:AK8" si="4">COUNTIF(D5:AG5,"SL")</f>
        <v>0</v>
      </c>
      <c r="AL5" s="2">
        <f t="shared" ref="AL5:AL8" si="5">COUNTIF(D5:AG5,"PL")</f>
        <v>0</v>
      </c>
      <c r="AM5" s="2">
        <f t="shared" ref="AM5:AM8" si="6">AH5+AJ5+AK5+AL5</f>
        <v>28</v>
      </c>
      <c r="AN5" s="2">
        <v>20</v>
      </c>
    </row>
    <row r="6" spans="1:40" x14ac:dyDescent="0.25">
      <c r="A6" s="2">
        <v>3</v>
      </c>
      <c r="B6" s="2" t="s">
        <v>10</v>
      </c>
      <c r="C6" s="2" t="s">
        <v>20</v>
      </c>
      <c r="D6" s="2" t="s">
        <v>49</v>
      </c>
      <c r="E6" s="2" t="s">
        <v>49</v>
      </c>
      <c r="F6" s="2" t="s">
        <v>49</v>
      </c>
      <c r="G6" s="2" t="s">
        <v>49</v>
      </c>
      <c r="H6" s="2" t="s">
        <v>53</v>
      </c>
      <c r="I6" s="2" t="s">
        <v>49</v>
      </c>
      <c r="J6" s="2" t="s">
        <v>49</v>
      </c>
      <c r="K6" s="2" t="s">
        <v>49</v>
      </c>
      <c r="L6" s="2" t="s">
        <v>49</v>
      </c>
      <c r="M6" s="2" t="s">
        <v>49</v>
      </c>
      <c r="N6" s="2" t="s">
        <v>49</v>
      </c>
      <c r="O6" s="2" t="s">
        <v>53</v>
      </c>
      <c r="P6" s="2" t="s">
        <v>49</v>
      </c>
      <c r="Q6" s="2" t="s">
        <v>49</v>
      </c>
      <c r="R6" s="2" t="s">
        <v>49</v>
      </c>
      <c r="S6" s="2" t="s">
        <v>49</v>
      </c>
      <c r="T6" s="2" t="s">
        <v>49</v>
      </c>
      <c r="U6" s="2" t="s">
        <v>49</v>
      </c>
      <c r="V6" s="2" t="s">
        <v>53</v>
      </c>
      <c r="W6" s="2" t="s">
        <v>50</v>
      </c>
      <c r="X6" s="2" t="s">
        <v>49</v>
      </c>
      <c r="Y6" s="2" t="s">
        <v>49</v>
      </c>
      <c r="Z6" s="2" t="s">
        <v>49</v>
      </c>
      <c r="AA6" s="2" t="s">
        <v>49</v>
      </c>
      <c r="AB6" s="2" t="s">
        <v>49</v>
      </c>
      <c r="AC6" s="2" t="s">
        <v>53</v>
      </c>
      <c r="AD6" s="2" t="s">
        <v>49</v>
      </c>
      <c r="AE6" s="2" t="s">
        <v>49</v>
      </c>
      <c r="AF6" s="2" t="s">
        <v>49</v>
      </c>
      <c r="AG6" s="2" t="s">
        <v>49</v>
      </c>
      <c r="AH6" s="2">
        <f t="shared" si="1"/>
        <v>25</v>
      </c>
      <c r="AI6" s="2">
        <f t="shared" si="2"/>
        <v>1</v>
      </c>
      <c r="AJ6" s="2">
        <f t="shared" si="3"/>
        <v>4</v>
      </c>
      <c r="AK6" s="2">
        <f t="shared" si="4"/>
        <v>0</v>
      </c>
      <c r="AL6" s="2">
        <f t="shared" si="5"/>
        <v>0</v>
      </c>
      <c r="AM6" s="2">
        <f t="shared" si="6"/>
        <v>29</v>
      </c>
      <c r="AN6" s="2">
        <v>30</v>
      </c>
    </row>
    <row r="7" spans="1:40" x14ac:dyDescent="0.25">
      <c r="A7" s="2">
        <v>4</v>
      </c>
      <c r="B7" s="2" t="s">
        <v>11</v>
      </c>
      <c r="C7" s="2" t="s">
        <v>21</v>
      </c>
      <c r="D7" s="2" t="s">
        <v>49</v>
      </c>
      <c r="E7" s="2" t="s">
        <v>49</v>
      </c>
      <c r="F7" s="2" t="s">
        <v>49</v>
      </c>
      <c r="G7" s="2" t="s">
        <v>49</v>
      </c>
      <c r="H7" s="2" t="s">
        <v>53</v>
      </c>
      <c r="I7" s="2" t="s">
        <v>49</v>
      </c>
      <c r="J7" s="2" t="s">
        <v>49</v>
      </c>
      <c r="K7" s="2" t="s">
        <v>49</v>
      </c>
      <c r="L7" s="2" t="s">
        <v>49</v>
      </c>
      <c r="M7" s="2" t="s">
        <v>49</v>
      </c>
      <c r="N7" s="2" t="s">
        <v>49</v>
      </c>
      <c r="O7" s="2" t="s">
        <v>53</v>
      </c>
      <c r="P7" s="2" t="s">
        <v>49</v>
      </c>
      <c r="Q7" s="2" t="s">
        <v>49</v>
      </c>
      <c r="R7" s="2" t="s">
        <v>49</v>
      </c>
      <c r="S7" s="2" t="s">
        <v>49</v>
      </c>
      <c r="T7" s="2" t="s">
        <v>49</v>
      </c>
      <c r="U7" s="2" t="s">
        <v>49</v>
      </c>
      <c r="V7" s="2" t="s">
        <v>53</v>
      </c>
      <c r="W7" s="2" t="s">
        <v>49</v>
      </c>
      <c r="X7" s="2" t="s">
        <v>49</v>
      </c>
      <c r="Y7" s="2" t="s">
        <v>49</v>
      </c>
      <c r="Z7" s="2" t="s">
        <v>49</v>
      </c>
      <c r="AA7" s="2" t="s">
        <v>49</v>
      </c>
      <c r="AB7" s="2" t="s">
        <v>49</v>
      </c>
      <c r="AC7" s="2" t="s">
        <v>53</v>
      </c>
      <c r="AD7" s="2" t="s">
        <v>49</v>
      </c>
      <c r="AE7" s="2" t="s">
        <v>49</v>
      </c>
      <c r="AF7" s="2" t="s">
        <v>49</v>
      </c>
      <c r="AG7" s="2" t="s">
        <v>49</v>
      </c>
      <c r="AH7" s="2">
        <f t="shared" si="1"/>
        <v>26</v>
      </c>
      <c r="AI7" s="2">
        <f t="shared" si="2"/>
        <v>0</v>
      </c>
      <c r="AJ7" s="2">
        <f t="shared" si="3"/>
        <v>4</v>
      </c>
      <c r="AK7" s="2">
        <f t="shared" si="4"/>
        <v>0</v>
      </c>
      <c r="AL7" s="2">
        <f t="shared" si="5"/>
        <v>0</v>
      </c>
      <c r="AM7" s="2">
        <f t="shared" si="6"/>
        <v>30</v>
      </c>
      <c r="AN7" s="2">
        <v>40</v>
      </c>
    </row>
    <row r="8" spans="1:40" x14ac:dyDescent="0.25">
      <c r="A8" s="2">
        <v>5</v>
      </c>
      <c r="B8" s="2" t="s">
        <v>12</v>
      </c>
      <c r="C8" s="2" t="s">
        <v>22</v>
      </c>
      <c r="D8" s="2" t="s">
        <v>49</v>
      </c>
      <c r="E8" s="2" t="s">
        <v>49</v>
      </c>
      <c r="F8" s="2" t="s">
        <v>49</v>
      </c>
      <c r="G8" s="2" t="s">
        <v>49</v>
      </c>
      <c r="H8" s="2" t="s">
        <v>53</v>
      </c>
      <c r="I8" s="2" t="s">
        <v>49</v>
      </c>
      <c r="J8" s="2" t="s">
        <v>49</v>
      </c>
      <c r="K8" s="2" t="s">
        <v>49</v>
      </c>
      <c r="L8" s="2" t="s">
        <v>49</v>
      </c>
      <c r="M8" s="2" t="s">
        <v>49</v>
      </c>
      <c r="N8" s="2" t="s">
        <v>49</v>
      </c>
      <c r="O8" s="2" t="s">
        <v>53</v>
      </c>
      <c r="P8" s="2" t="s">
        <v>49</v>
      </c>
      <c r="Q8" s="2" t="s">
        <v>49</v>
      </c>
      <c r="R8" s="2" t="s">
        <v>49</v>
      </c>
      <c r="S8" s="2" t="s">
        <v>49</v>
      </c>
      <c r="T8" s="2" t="s">
        <v>49</v>
      </c>
      <c r="U8" s="2" t="s">
        <v>49</v>
      </c>
      <c r="V8" s="2" t="s">
        <v>53</v>
      </c>
      <c r="W8" s="2" t="s">
        <v>49</v>
      </c>
      <c r="X8" s="2" t="s">
        <v>49</v>
      </c>
      <c r="Y8" s="2" t="s">
        <v>49</v>
      </c>
      <c r="Z8" s="2" t="s">
        <v>49</v>
      </c>
      <c r="AA8" s="2" t="s">
        <v>49</v>
      </c>
      <c r="AB8" s="2" t="s">
        <v>49</v>
      </c>
      <c r="AC8" s="2" t="s">
        <v>53</v>
      </c>
      <c r="AD8" s="2" t="s">
        <v>49</v>
      </c>
      <c r="AE8" s="2" t="s">
        <v>49</v>
      </c>
      <c r="AF8" s="2" t="s">
        <v>49</v>
      </c>
      <c r="AG8" s="2" t="s">
        <v>49</v>
      </c>
      <c r="AH8" s="2">
        <f t="shared" si="1"/>
        <v>26</v>
      </c>
      <c r="AI8" s="2">
        <f t="shared" si="2"/>
        <v>0</v>
      </c>
      <c r="AJ8" s="2">
        <f t="shared" si="3"/>
        <v>4</v>
      </c>
      <c r="AK8" s="2">
        <f t="shared" si="4"/>
        <v>0</v>
      </c>
      <c r="AL8" s="2">
        <f t="shared" si="5"/>
        <v>0</v>
      </c>
      <c r="AM8" s="2">
        <f t="shared" si="6"/>
        <v>30</v>
      </c>
      <c r="AN8" s="2">
        <v>60</v>
      </c>
    </row>
    <row r="11" spans="1:40" x14ac:dyDescent="0.25">
      <c r="A11" t="s">
        <v>49</v>
      </c>
    </row>
    <row r="12" spans="1:40" x14ac:dyDescent="0.25">
      <c r="A12" t="s">
        <v>50</v>
      </c>
    </row>
    <row r="13" spans="1:40" x14ac:dyDescent="0.25">
      <c r="A13" t="s">
        <v>52</v>
      </c>
    </row>
    <row r="14" spans="1:40" x14ac:dyDescent="0.25">
      <c r="A14" t="s">
        <v>51</v>
      </c>
    </row>
    <row r="15" spans="1:40" x14ac:dyDescent="0.25">
      <c r="A15" t="s">
        <v>53</v>
      </c>
    </row>
    <row r="16" spans="1:40" x14ac:dyDescent="0.25">
      <c r="A16" t="s">
        <v>59</v>
      </c>
    </row>
  </sheetData>
  <mergeCells count="1">
    <mergeCell ref="AH2:AN2"/>
  </mergeCells>
  <conditionalFormatting sqref="D4:AG8">
    <cfRule type="cellIs" dxfId="12" priority="2" operator="equal">
      <formula>"AB"</formula>
    </cfRule>
    <cfRule type="cellIs" dxfId="11" priority="3" operator="equal">
      <formula>"P"</formula>
    </cfRule>
  </conditionalFormatting>
  <conditionalFormatting sqref="D2:AG8">
    <cfRule type="expression" dxfId="10" priority="1">
      <formula>D$2="SUN"</formula>
    </cfRule>
  </conditionalFormatting>
  <dataValidations count="1">
    <dataValidation type="list" allowBlank="1" showInputMessage="1" showErrorMessage="1" sqref="D4:AG8">
      <formula1>$A$11:$A$16</formula1>
    </dataValidation>
  </dataValidations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13"/>
  <sheetViews>
    <sheetView zoomScale="200" zoomScaleNormal="200" workbookViewId="0">
      <selection activeCell="B5" sqref="B5"/>
    </sheetView>
  </sheetViews>
  <sheetFormatPr defaultRowHeight="15" x14ac:dyDescent="0.25"/>
  <cols>
    <col min="1" max="1" width="11.7109375" customWidth="1"/>
    <col min="2" max="3" width="15.42578125" customWidth="1"/>
    <col min="4" max="4" width="13.7109375" customWidth="1"/>
    <col min="9" max="9" width="15.5703125" bestFit="1" customWidth="1"/>
    <col min="10" max="11" width="14.42578125" bestFit="1" customWidth="1"/>
    <col min="12" max="12" width="11.7109375" bestFit="1" customWidth="1"/>
  </cols>
  <sheetData>
    <row r="1" spans="1:12" x14ac:dyDescent="0.25">
      <c r="A1" s="9" t="s">
        <v>75</v>
      </c>
      <c r="B1" s="9" t="s">
        <v>74</v>
      </c>
      <c r="C1" s="9" t="s">
        <v>17</v>
      </c>
      <c r="D1" s="9" t="s">
        <v>73</v>
      </c>
      <c r="E1" s="9" t="s">
        <v>72</v>
      </c>
    </row>
    <row r="2" spans="1:12" s="16" customFormat="1" x14ac:dyDescent="0.25">
      <c r="A2" s="13">
        <v>43749</v>
      </c>
      <c r="B2" s="14" t="s">
        <v>61</v>
      </c>
      <c r="C2" s="14" t="s">
        <v>20</v>
      </c>
      <c r="D2" s="15">
        <v>18000</v>
      </c>
      <c r="E2" s="15" t="str">
        <f t="shared" ref="E2:E13" si="0">IF(D2&lt;20000,"YES","NO")</f>
        <v>YES</v>
      </c>
      <c r="H2" s="17"/>
      <c r="I2" s="14" t="s">
        <v>71</v>
      </c>
      <c r="J2" s="14" t="s">
        <v>61</v>
      </c>
      <c r="K2" s="14" t="s">
        <v>65</v>
      </c>
      <c r="L2" s="14" t="s">
        <v>69</v>
      </c>
    </row>
    <row r="3" spans="1:12" s="12" customFormat="1" x14ac:dyDescent="0.25">
      <c r="A3" s="10">
        <v>43745</v>
      </c>
      <c r="B3" s="11" t="s">
        <v>65</v>
      </c>
      <c r="C3" s="11" t="s">
        <v>20</v>
      </c>
      <c r="D3" s="9">
        <v>15000</v>
      </c>
      <c r="E3" s="9" t="str">
        <f t="shared" si="0"/>
        <v>YES</v>
      </c>
    </row>
    <row r="4" spans="1:12" s="12" customFormat="1" x14ac:dyDescent="0.25">
      <c r="A4" s="10">
        <v>43741</v>
      </c>
      <c r="B4" s="11" t="s">
        <v>69</v>
      </c>
      <c r="C4" s="11" t="s">
        <v>20</v>
      </c>
      <c r="D4" s="9">
        <v>18000</v>
      </c>
      <c r="E4" s="9" t="str">
        <f t="shared" si="0"/>
        <v>YES</v>
      </c>
    </row>
    <row r="5" spans="1:12" s="12" customFormat="1" x14ac:dyDescent="0.25">
      <c r="A5" s="10">
        <v>43739</v>
      </c>
      <c r="B5" s="11" t="s">
        <v>71</v>
      </c>
      <c r="C5" s="11" t="s">
        <v>18</v>
      </c>
      <c r="D5" s="9">
        <v>15000</v>
      </c>
      <c r="E5" s="9" t="str">
        <f t="shared" si="0"/>
        <v>YES</v>
      </c>
    </row>
    <row r="6" spans="1:12" s="12" customFormat="1" x14ac:dyDescent="0.25">
      <c r="A6" s="10">
        <v>43743</v>
      </c>
      <c r="B6" s="11" t="s">
        <v>67</v>
      </c>
      <c r="C6" s="11" t="s">
        <v>18</v>
      </c>
      <c r="D6" s="9">
        <v>25000</v>
      </c>
      <c r="E6" s="9" t="str">
        <f t="shared" si="0"/>
        <v>NO</v>
      </c>
    </row>
    <row r="7" spans="1:12" s="16" customFormat="1" x14ac:dyDescent="0.25">
      <c r="A7" s="13">
        <v>43747</v>
      </c>
      <c r="B7" s="14" t="s">
        <v>63</v>
      </c>
      <c r="C7" s="14" t="s">
        <v>18</v>
      </c>
      <c r="D7" s="15">
        <v>15000</v>
      </c>
      <c r="E7" s="15" t="str">
        <f t="shared" si="0"/>
        <v>YES</v>
      </c>
    </row>
    <row r="8" spans="1:12" s="12" customFormat="1" x14ac:dyDescent="0.25">
      <c r="A8" s="10">
        <v>43748</v>
      </c>
      <c r="B8" s="11" t="s">
        <v>62</v>
      </c>
      <c r="C8" s="11" t="s">
        <v>19</v>
      </c>
      <c r="D8" s="9">
        <v>35000</v>
      </c>
      <c r="E8" s="9" t="str">
        <f t="shared" si="0"/>
        <v>NO</v>
      </c>
    </row>
    <row r="9" spans="1:12" s="12" customFormat="1" x14ac:dyDescent="0.25">
      <c r="A9" s="10">
        <v>43744</v>
      </c>
      <c r="B9" s="11" t="s">
        <v>66</v>
      </c>
      <c r="C9" s="11" t="s">
        <v>19</v>
      </c>
      <c r="D9" s="9">
        <v>22000</v>
      </c>
      <c r="E9" s="9" t="str">
        <f t="shared" si="0"/>
        <v>NO</v>
      </c>
    </row>
    <row r="10" spans="1:12" x14ac:dyDescent="0.25">
      <c r="A10" s="8">
        <v>43740</v>
      </c>
      <c r="B10" s="7" t="s">
        <v>70</v>
      </c>
      <c r="C10" s="7" t="s">
        <v>19</v>
      </c>
      <c r="D10" s="2">
        <v>16000</v>
      </c>
      <c r="E10" s="2" t="str">
        <f t="shared" si="0"/>
        <v>YES</v>
      </c>
    </row>
    <row r="11" spans="1:12" x14ac:dyDescent="0.25">
      <c r="A11" s="8">
        <v>43742</v>
      </c>
      <c r="B11" s="7" t="s">
        <v>68</v>
      </c>
      <c r="C11" s="7" t="s">
        <v>21</v>
      </c>
      <c r="D11" s="2">
        <v>19000</v>
      </c>
      <c r="E11" s="2" t="str">
        <f t="shared" si="0"/>
        <v>YES</v>
      </c>
    </row>
    <row r="12" spans="1:12" s="16" customFormat="1" x14ac:dyDescent="0.25">
      <c r="A12" s="13">
        <v>43746</v>
      </c>
      <c r="B12" s="14" t="s">
        <v>64</v>
      </c>
      <c r="C12" s="14" t="s">
        <v>21</v>
      </c>
      <c r="D12" s="15">
        <v>35000</v>
      </c>
      <c r="E12" s="15" t="str">
        <f t="shared" si="0"/>
        <v>NO</v>
      </c>
    </row>
    <row r="13" spans="1:12" s="16" customFormat="1" x14ac:dyDescent="0.25">
      <c r="A13" s="13">
        <v>43750</v>
      </c>
      <c r="B13" s="14" t="s">
        <v>60</v>
      </c>
      <c r="C13" s="14" t="s">
        <v>21</v>
      </c>
      <c r="D13" s="15">
        <v>21000</v>
      </c>
      <c r="E13" s="15" t="str">
        <f t="shared" si="0"/>
        <v>NO</v>
      </c>
    </row>
  </sheetData>
  <autoFilter ref="A1:E13"/>
  <sortState columnSort="1" ref="I2:L2">
    <sortCondition ref="I2:L2"/>
  </sortState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R16"/>
  <sheetViews>
    <sheetView topLeftCell="B1" zoomScale="200" zoomScaleNormal="200" workbookViewId="0">
      <selection activeCell="H10" sqref="H10"/>
    </sheetView>
  </sheetViews>
  <sheetFormatPr defaultRowHeight="15" x14ac:dyDescent="0.25"/>
  <cols>
    <col min="1" max="1" width="6.42578125" customWidth="1"/>
    <col min="2" max="2" width="18" bestFit="1" customWidth="1"/>
    <col min="3" max="3" width="5.42578125" customWidth="1"/>
    <col min="4" max="4" width="5.85546875" customWidth="1"/>
    <col min="5" max="5" width="5.42578125" customWidth="1"/>
    <col min="6" max="6" width="6.5703125" customWidth="1"/>
    <col min="7" max="7" width="5.140625" customWidth="1"/>
    <col min="8" max="8" width="4.7109375" customWidth="1"/>
    <col min="9" max="9" width="7.28515625" customWidth="1"/>
    <col min="10" max="10" width="10.28515625" bestFit="1" customWidth="1"/>
    <col min="11" max="11" width="13.5703125" customWidth="1"/>
  </cols>
  <sheetData>
    <row r="1" spans="1:18" x14ac:dyDescent="0.25">
      <c r="A1" t="s">
        <v>0</v>
      </c>
      <c r="B1" t="s">
        <v>106</v>
      </c>
      <c r="C1" t="s">
        <v>105</v>
      </c>
      <c r="D1" t="s">
        <v>104</v>
      </c>
      <c r="E1" t="s">
        <v>103</v>
      </c>
      <c r="F1" t="s">
        <v>102</v>
      </c>
      <c r="G1" t="s">
        <v>101</v>
      </c>
      <c r="H1" t="s">
        <v>100</v>
      </c>
      <c r="I1" t="s">
        <v>99</v>
      </c>
      <c r="J1" t="s">
        <v>98</v>
      </c>
      <c r="K1" t="s">
        <v>97</v>
      </c>
      <c r="L1" t="s">
        <v>96</v>
      </c>
      <c r="M1" t="s">
        <v>96</v>
      </c>
      <c r="N1" t="s">
        <v>95</v>
      </c>
      <c r="Q1" t="s">
        <v>94</v>
      </c>
    </row>
    <row r="2" spans="1:18" x14ac:dyDescent="0.25">
      <c r="A2">
        <v>1</v>
      </c>
      <c r="B2" t="s">
        <v>92</v>
      </c>
      <c r="C2">
        <v>76</v>
      </c>
      <c r="D2">
        <v>45</v>
      </c>
      <c r="E2">
        <v>35</v>
      </c>
      <c r="F2">
        <f>SUM(C2:E2)</f>
        <v>156</v>
      </c>
      <c r="G2">
        <f>MAX(C2:E2)</f>
        <v>76</v>
      </c>
      <c r="H2">
        <f>MIN(C2:E2)</f>
        <v>35</v>
      </c>
      <c r="I2">
        <f>COUNT(C2:E2)</f>
        <v>3</v>
      </c>
      <c r="J2" s="3">
        <f>AVERAGE(C2:E2)</f>
        <v>52</v>
      </c>
      <c r="K2" s="3">
        <f>F2/3</f>
        <v>52</v>
      </c>
      <c r="L2" t="str">
        <f>IF(OR(C2&lt;35,D2&lt;35,E2&lt;35),"FAIL","PASS")</f>
        <v>PASS</v>
      </c>
      <c r="M2" t="str">
        <f>IF(AND(C2&gt;=35,D2&gt;=35,E2&gt;=35),"PASS","FAIL")</f>
        <v>PASS</v>
      </c>
      <c r="N2" t="str">
        <f>IF(M2="FAIL","FAIL",IF(K2&gt;=75,"A+",IF(K2&gt;=60,"A",IF(K2&gt;=45,"B",IF(K2&gt;=35,"C")))))</f>
        <v>B</v>
      </c>
      <c r="Q2">
        <v>75</v>
      </c>
      <c r="R2" t="s">
        <v>93</v>
      </c>
    </row>
    <row r="3" spans="1:18" x14ac:dyDescent="0.25">
      <c r="A3">
        <v>2</v>
      </c>
      <c r="B3" t="s">
        <v>91</v>
      </c>
      <c r="C3">
        <v>23</v>
      </c>
      <c r="D3">
        <v>53</v>
      </c>
      <c r="E3">
        <v>55</v>
      </c>
      <c r="F3">
        <f>SUM(C3:E3)</f>
        <v>131</v>
      </c>
      <c r="G3">
        <f>MAX(C3:E3)</f>
        <v>55</v>
      </c>
      <c r="H3">
        <f>MIN(C3:E3)</f>
        <v>23</v>
      </c>
      <c r="I3">
        <f>COUNT(C3:E3)</f>
        <v>3</v>
      </c>
      <c r="J3" s="3">
        <f>AVERAGE(C3:E3)</f>
        <v>43.666666666666664</v>
      </c>
      <c r="K3" s="3">
        <f>F3/3</f>
        <v>43.666666666666664</v>
      </c>
      <c r="L3" t="str">
        <f>IF(OR(C3&lt;35,D3&lt;35,E3&lt;35),"FAIL","PASS")</f>
        <v>FAIL</v>
      </c>
      <c r="M3" t="str">
        <f>IF(AND(C3&gt;=35,D3&gt;=35,E3&gt;=35),"PASS","FAIL")</f>
        <v>FAIL</v>
      </c>
      <c r="N3" t="str">
        <f>IF(M3="FAIL","FAIL",IF(K3&gt;=75,"A+",IF(K3&gt;=60,"A",IF(K3&gt;=45,"B",IF(K3&gt;=35,"C")))))</f>
        <v>FAIL</v>
      </c>
      <c r="Q3">
        <v>60</v>
      </c>
      <c r="R3" t="s">
        <v>92</v>
      </c>
    </row>
    <row r="4" spans="1:18" x14ac:dyDescent="0.25">
      <c r="A4">
        <v>3</v>
      </c>
      <c r="B4" t="s">
        <v>89</v>
      </c>
      <c r="C4">
        <v>48</v>
      </c>
      <c r="D4">
        <v>55</v>
      </c>
      <c r="E4">
        <v>14</v>
      </c>
      <c r="F4">
        <f>SUM(C4:E4)</f>
        <v>117</v>
      </c>
      <c r="G4">
        <f>MAX(C4:E4)</f>
        <v>55</v>
      </c>
      <c r="H4">
        <f>MIN(C4:E4)</f>
        <v>14</v>
      </c>
      <c r="I4">
        <f>COUNT(C4:E4)</f>
        <v>3</v>
      </c>
      <c r="J4" s="3">
        <f>AVERAGE(C4:E4)</f>
        <v>39</v>
      </c>
      <c r="K4" s="3">
        <f>F4/3</f>
        <v>39</v>
      </c>
      <c r="L4" t="str">
        <f>IF(OR(C4&lt;35,D4&lt;35,E4&lt;35),"FAIL","PASS")</f>
        <v>FAIL</v>
      </c>
      <c r="M4" t="str">
        <f>IF(AND(C4&gt;=35,D4&gt;=35,E4&gt;=35),"PASS","FAIL")</f>
        <v>FAIL</v>
      </c>
      <c r="N4" t="str">
        <f>IF(M4="FAIL","FAIL",IF(K4&gt;=75,"A+",IF(K4&gt;=60,"A",IF(K4&gt;=45,"B",IF(K4&gt;=35,"C")))))</f>
        <v>FAIL</v>
      </c>
      <c r="Q4">
        <v>45</v>
      </c>
      <c r="R4" t="s">
        <v>91</v>
      </c>
    </row>
    <row r="5" spans="1:18" x14ac:dyDescent="0.25">
      <c r="A5">
        <v>4</v>
      </c>
      <c r="B5" t="s">
        <v>90</v>
      </c>
      <c r="C5">
        <v>35</v>
      </c>
      <c r="D5">
        <v>85</v>
      </c>
      <c r="E5">
        <v>56</v>
      </c>
      <c r="F5">
        <f>SUM(C5:E5)</f>
        <v>176</v>
      </c>
      <c r="G5">
        <f>MAX(C5:E5)</f>
        <v>85</v>
      </c>
      <c r="H5">
        <f>MIN(C5:E5)</f>
        <v>35</v>
      </c>
      <c r="I5">
        <f>COUNT(C5:E5)</f>
        <v>3</v>
      </c>
      <c r="J5" s="3">
        <f>AVERAGE(C5:E5)</f>
        <v>58.666666666666664</v>
      </c>
      <c r="K5" s="3">
        <f>F5/3</f>
        <v>58.666666666666664</v>
      </c>
      <c r="L5" t="str">
        <f>IF(OR(C5&lt;35,D5&lt;35,E5&lt;35),"FAIL","PASS")</f>
        <v>PASS</v>
      </c>
      <c r="M5" t="str">
        <f>IF(AND(C5&gt;=35,D5&gt;=35,E5&gt;=35),"PASS","FAIL")</f>
        <v>PASS</v>
      </c>
      <c r="N5" t="str">
        <f>IF(M5="FAIL","FAIL",IF(K5&gt;=75,"A+",IF(K5&gt;=60,"A",IF(K5&gt;=45,"B",IF(K5&gt;=35,"C")))))</f>
        <v>B</v>
      </c>
      <c r="Q5">
        <v>35</v>
      </c>
      <c r="R5" t="s">
        <v>89</v>
      </c>
    </row>
    <row r="6" spans="1:18" x14ac:dyDescent="0.25">
      <c r="A6">
        <v>5</v>
      </c>
      <c r="B6" t="s">
        <v>88</v>
      </c>
      <c r="C6">
        <v>76</v>
      </c>
      <c r="D6">
        <v>32</v>
      </c>
      <c r="E6">
        <v>74</v>
      </c>
      <c r="F6">
        <f>SUM(C6:E6)</f>
        <v>182</v>
      </c>
      <c r="G6">
        <f>MAX(C6:E6)</f>
        <v>76</v>
      </c>
      <c r="H6">
        <f>MIN(C6:E6)</f>
        <v>32</v>
      </c>
      <c r="I6">
        <f>COUNT(C6:E6)</f>
        <v>3</v>
      </c>
      <c r="J6" s="3">
        <f>AVERAGE(C6:E6)</f>
        <v>60.666666666666664</v>
      </c>
      <c r="K6" s="3">
        <f>F6/3</f>
        <v>60.666666666666664</v>
      </c>
      <c r="L6" t="str">
        <f>IF(OR(C6&lt;35,D6&lt;35,E6&lt;35),"FAIL","PASS")</f>
        <v>FAIL</v>
      </c>
      <c r="M6" t="str">
        <f>IF(AND(C6&gt;=35,D6&gt;=35,E6&gt;=35),"PASS","FAIL")</f>
        <v>FAIL</v>
      </c>
      <c r="N6" t="str">
        <f>IF(M6="FAIL","FAIL",IF(K6&gt;=75,"A+",IF(K6&gt;=60,"A",IF(K6&gt;=45,"B",IF(K6&gt;=35,"C")))))</f>
        <v>FAIL</v>
      </c>
      <c r="R6" t="s">
        <v>84</v>
      </c>
    </row>
    <row r="9" spans="1:18" x14ac:dyDescent="0.25">
      <c r="B9">
        <v>170</v>
      </c>
      <c r="D9">
        <v>100</v>
      </c>
      <c r="M9" t="s">
        <v>87</v>
      </c>
      <c r="N9" t="s">
        <v>86</v>
      </c>
      <c r="O9" t="s">
        <v>87</v>
      </c>
      <c r="P9" t="s">
        <v>86</v>
      </c>
    </row>
    <row r="10" spans="1:18" x14ac:dyDescent="0.25">
      <c r="B10">
        <v>200</v>
      </c>
      <c r="D10">
        <v>40</v>
      </c>
      <c r="E10" t="s">
        <v>85</v>
      </c>
      <c r="F10" t="s">
        <v>84</v>
      </c>
      <c r="J10" t="s">
        <v>83</v>
      </c>
      <c r="L10" t="s">
        <v>82</v>
      </c>
      <c r="M10" t="s">
        <v>81</v>
      </c>
      <c r="N10" t="s">
        <v>81</v>
      </c>
      <c r="O10" t="s">
        <v>81</v>
      </c>
      <c r="P10" t="s">
        <v>81</v>
      </c>
    </row>
    <row r="11" spans="1:18" x14ac:dyDescent="0.25">
      <c r="J11" t="s">
        <v>79</v>
      </c>
      <c r="L11">
        <v>156</v>
      </c>
      <c r="M11" t="s">
        <v>77</v>
      </c>
      <c r="N11" t="s">
        <v>76</v>
      </c>
      <c r="O11" t="str">
        <f t="shared" ref="O11:O16" si="0">IF(AND(J11="PURCHASE",L11&gt;=160),"YES","NO")</f>
        <v>NO</v>
      </c>
      <c r="P11" t="str">
        <f t="shared" ref="P11:P16" si="1">IF(OR(J11="PURCHASE",L11&gt;=160),"YES","NO")</f>
        <v>YES</v>
      </c>
    </row>
    <row r="12" spans="1:18" x14ac:dyDescent="0.25">
      <c r="D12">
        <v>45</v>
      </c>
      <c r="E12" t="str">
        <f>IF(D12&gt;=40,"PASS","FAIL")</f>
        <v>PASS</v>
      </c>
      <c r="F12" t="str">
        <f>IF(D12&lt;40,"FAIL","PASS")</f>
        <v>PASS</v>
      </c>
      <c r="J12" t="s">
        <v>78</v>
      </c>
      <c r="L12">
        <v>161</v>
      </c>
      <c r="M12" t="s">
        <v>77</v>
      </c>
      <c r="N12" t="s">
        <v>76</v>
      </c>
      <c r="O12" t="str">
        <f t="shared" si="0"/>
        <v>NO</v>
      </c>
      <c r="P12" t="str">
        <f t="shared" si="1"/>
        <v>YES</v>
      </c>
    </row>
    <row r="13" spans="1:18" x14ac:dyDescent="0.25">
      <c r="D13">
        <v>47</v>
      </c>
      <c r="E13" t="str">
        <f>IF(D13&gt;=40,"PASS","FAIL")</f>
        <v>PASS</v>
      </c>
      <c r="F13" t="str">
        <f>IF(D13&lt;40,"FAIL","PASS")</f>
        <v>PASS</v>
      </c>
      <c r="J13" t="s">
        <v>79</v>
      </c>
      <c r="L13">
        <v>154</v>
      </c>
      <c r="M13" t="s">
        <v>77</v>
      </c>
      <c r="N13" t="s">
        <v>76</v>
      </c>
      <c r="O13" t="str">
        <f t="shared" si="0"/>
        <v>NO</v>
      </c>
      <c r="P13" t="str">
        <f t="shared" si="1"/>
        <v>YES</v>
      </c>
    </row>
    <row r="14" spans="1:18" x14ac:dyDescent="0.25">
      <c r="D14">
        <v>34</v>
      </c>
      <c r="E14" t="str">
        <f>IF(D14&gt;=40,"PASS","FAIL")</f>
        <v>FAIL</v>
      </c>
      <c r="F14" t="str">
        <f>IF(D14&lt;40,"FAIL","PASS")</f>
        <v>FAIL</v>
      </c>
      <c r="J14" t="s">
        <v>80</v>
      </c>
      <c r="L14">
        <v>167</v>
      </c>
      <c r="M14" t="s">
        <v>77</v>
      </c>
      <c r="N14" t="s">
        <v>76</v>
      </c>
      <c r="O14" t="str">
        <f t="shared" si="0"/>
        <v>NO</v>
      </c>
      <c r="P14" t="str">
        <f t="shared" si="1"/>
        <v>YES</v>
      </c>
    </row>
    <row r="15" spans="1:18" x14ac:dyDescent="0.25">
      <c r="D15">
        <v>87</v>
      </c>
      <c r="E15" t="str">
        <f>IF(D15&gt;=40,"PASS","FAIL")</f>
        <v>PASS</v>
      </c>
      <c r="F15" t="str">
        <f>IF(D15&lt;40,"FAIL","PASS")</f>
        <v>PASS</v>
      </c>
      <c r="J15" t="s">
        <v>79</v>
      </c>
      <c r="L15">
        <v>168</v>
      </c>
      <c r="M15" t="s">
        <v>76</v>
      </c>
      <c r="N15" t="s">
        <v>76</v>
      </c>
      <c r="O15" t="str">
        <f t="shared" si="0"/>
        <v>YES</v>
      </c>
      <c r="P15" t="str">
        <f t="shared" si="1"/>
        <v>YES</v>
      </c>
    </row>
    <row r="16" spans="1:18" x14ac:dyDescent="0.25">
      <c r="D16">
        <v>32</v>
      </c>
      <c r="E16" t="str">
        <f>IF(D16&gt;=40,"PASS","FAIL")</f>
        <v>FAIL</v>
      </c>
      <c r="F16" t="str">
        <f>IF(D16&lt;40,"FAIL","PASS")</f>
        <v>FAIL</v>
      </c>
      <c r="J16" t="s">
        <v>78</v>
      </c>
      <c r="L16">
        <v>178</v>
      </c>
      <c r="M16" t="s">
        <v>77</v>
      </c>
      <c r="N16" t="s">
        <v>76</v>
      </c>
      <c r="O16" t="str">
        <f t="shared" si="0"/>
        <v>NO</v>
      </c>
      <c r="P16" t="str">
        <f t="shared" si="1"/>
        <v>YES</v>
      </c>
    </row>
  </sheetData>
  <conditionalFormatting sqref="C2:E6">
    <cfRule type="cellIs" dxfId="9" priority="6" operator="equal">
      <formula>35</formula>
    </cfRule>
    <cfRule type="cellIs" dxfId="8" priority="7" operator="lessThan">
      <formula>35</formula>
    </cfRule>
    <cfRule type="cellIs" dxfId="7" priority="8" operator="greaterThan">
      <formula>35</formula>
    </cfRule>
  </conditionalFormatting>
  <conditionalFormatting sqref="F2:F6">
    <cfRule type="cellIs" dxfId="6" priority="5" operator="between">
      <formula>$B$9</formula>
      <formula>$B$10</formula>
    </cfRule>
  </conditionalFormatting>
  <conditionalFormatting sqref="L2:L6">
    <cfRule type="containsText" dxfId="5" priority="3" operator="containsText" text="FAIL">
      <formula>NOT(ISERROR(SEARCH("FAIL",L2)))</formula>
    </cfRule>
    <cfRule type="cellIs" dxfId="4" priority="4" operator="equal">
      <formula>"PASS"</formula>
    </cfRule>
  </conditionalFormatting>
  <conditionalFormatting sqref="B1:B1048576">
    <cfRule type="duplicateValues" dxfId="3" priority="2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13"/>
  <sheetViews>
    <sheetView zoomScale="160" zoomScaleNormal="160" workbookViewId="0">
      <selection activeCell="H2" sqref="H2"/>
    </sheetView>
  </sheetViews>
  <sheetFormatPr defaultRowHeight="15" x14ac:dyDescent="0.25"/>
  <cols>
    <col min="1" max="1" width="11.7109375" style="20" customWidth="1"/>
    <col min="2" max="3" width="15.42578125" style="20" customWidth="1"/>
    <col min="4" max="4" width="13.7109375" style="20" customWidth="1"/>
    <col min="5" max="7" width="9.140625" style="20"/>
    <col min="8" max="8" width="10.28515625" style="20" customWidth="1"/>
    <col min="9" max="16384" width="9.140625" style="20"/>
  </cols>
  <sheetData>
    <row r="1" spans="1:8" x14ac:dyDescent="0.25">
      <c r="A1" s="6" t="s">
        <v>75</v>
      </c>
      <c r="B1" s="6" t="s">
        <v>74</v>
      </c>
      <c r="C1" s="6" t="s">
        <v>17</v>
      </c>
      <c r="D1" s="6" t="s">
        <v>73</v>
      </c>
      <c r="E1" s="6" t="s">
        <v>72</v>
      </c>
      <c r="H1" s="6" t="s">
        <v>17</v>
      </c>
    </row>
    <row r="2" spans="1:8" x14ac:dyDescent="0.25">
      <c r="A2" s="18">
        <v>43934</v>
      </c>
      <c r="B2" s="19" t="s">
        <v>71</v>
      </c>
      <c r="C2" s="19" t="s">
        <v>18</v>
      </c>
      <c r="D2" s="6">
        <v>15000</v>
      </c>
      <c r="E2" s="6" t="str">
        <f t="shared" ref="E2:E13" si="0">IF(D2&lt;20000,"YES","NO")</f>
        <v>YES</v>
      </c>
      <c r="H2" s="20" t="s">
        <v>20</v>
      </c>
    </row>
    <row r="3" spans="1:8" x14ac:dyDescent="0.25">
      <c r="A3" s="18">
        <v>43931</v>
      </c>
      <c r="B3" s="19" t="s">
        <v>61</v>
      </c>
      <c r="C3" s="19" t="s">
        <v>20</v>
      </c>
      <c r="D3" s="6">
        <v>18000</v>
      </c>
      <c r="E3" s="6" t="str">
        <f t="shared" si="0"/>
        <v>YES</v>
      </c>
    </row>
    <row r="4" spans="1:8" x14ac:dyDescent="0.25">
      <c r="A4" s="18">
        <v>43937</v>
      </c>
      <c r="B4" s="19" t="s">
        <v>62</v>
      </c>
      <c r="C4" s="19" t="s">
        <v>19</v>
      </c>
      <c r="D4" s="6">
        <v>35000</v>
      </c>
      <c r="E4" s="6" t="str">
        <f t="shared" si="0"/>
        <v>NO</v>
      </c>
    </row>
    <row r="5" spans="1:8" x14ac:dyDescent="0.25">
      <c r="A5" s="18">
        <v>43935</v>
      </c>
      <c r="B5" s="19" t="s">
        <v>67</v>
      </c>
      <c r="C5" s="19" t="s">
        <v>18</v>
      </c>
      <c r="D5" s="6">
        <v>25000</v>
      </c>
      <c r="E5" s="6" t="str">
        <f t="shared" si="0"/>
        <v>NO</v>
      </c>
    </row>
    <row r="6" spans="1:8" x14ac:dyDescent="0.25">
      <c r="A6" s="18">
        <v>43940</v>
      </c>
      <c r="B6" s="19" t="s">
        <v>68</v>
      </c>
      <c r="C6" s="19" t="s">
        <v>21</v>
      </c>
      <c r="D6" s="6">
        <v>19000</v>
      </c>
      <c r="E6" s="6" t="str">
        <f t="shared" si="0"/>
        <v>YES</v>
      </c>
    </row>
    <row r="7" spans="1:8" x14ac:dyDescent="0.25">
      <c r="A7" s="18">
        <v>43936</v>
      </c>
      <c r="B7" s="19" t="s">
        <v>63</v>
      </c>
      <c r="C7" s="19" t="s">
        <v>18</v>
      </c>
      <c r="D7" s="6">
        <v>15000</v>
      </c>
      <c r="E7" s="6" t="str">
        <f t="shared" si="0"/>
        <v>YES</v>
      </c>
    </row>
    <row r="8" spans="1:8" x14ac:dyDescent="0.25">
      <c r="A8" s="18">
        <v>43932</v>
      </c>
      <c r="B8" s="19" t="s">
        <v>65</v>
      </c>
      <c r="C8" s="19" t="s">
        <v>20</v>
      </c>
      <c r="D8" s="6">
        <v>15000</v>
      </c>
      <c r="E8" s="6" t="str">
        <f t="shared" si="0"/>
        <v>YES</v>
      </c>
    </row>
    <row r="9" spans="1:8" x14ac:dyDescent="0.25">
      <c r="A9" s="18">
        <v>43938</v>
      </c>
      <c r="B9" s="19" t="s">
        <v>66</v>
      </c>
      <c r="C9" s="19" t="s">
        <v>19</v>
      </c>
      <c r="D9" s="6">
        <v>22000</v>
      </c>
      <c r="E9" s="6" t="str">
        <f t="shared" si="0"/>
        <v>NO</v>
      </c>
    </row>
    <row r="10" spans="1:8" x14ac:dyDescent="0.25">
      <c r="A10" s="18">
        <v>43939</v>
      </c>
      <c r="B10" s="19" t="s">
        <v>70</v>
      </c>
      <c r="C10" s="19" t="s">
        <v>19</v>
      </c>
      <c r="D10" s="6">
        <v>16000</v>
      </c>
      <c r="E10" s="6" t="str">
        <f t="shared" si="0"/>
        <v>YES</v>
      </c>
    </row>
    <row r="11" spans="1:8" x14ac:dyDescent="0.25">
      <c r="A11" s="18">
        <v>43933</v>
      </c>
      <c r="B11" s="19" t="s">
        <v>69</v>
      </c>
      <c r="C11" s="19" t="s">
        <v>20</v>
      </c>
      <c r="D11" s="6">
        <v>18000</v>
      </c>
      <c r="E11" s="6" t="str">
        <f t="shared" si="0"/>
        <v>YES</v>
      </c>
    </row>
    <row r="12" spans="1:8" x14ac:dyDescent="0.25">
      <c r="A12" s="18">
        <v>43941</v>
      </c>
      <c r="B12" s="19" t="s">
        <v>64</v>
      </c>
      <c r="C12" s="19" t="s">
        <v>21</v>
      </c>
      <c r="D12" s="6">
        <v>35000</v>
      </c>
      <c r="E12" s="6" t="str">
        <f t="shared" si="0"/>
        <v>NO</v>
      </c>
    </row>
    <row r="13" spans="1:8" x14ac:dyDescent="0.25">
      <c r="A13" s="18">
        <v>43942</v>
      </c>
      <c r="B13" s="19" t="s">
        <v>60</v>
      </c>
      <c r="C13" s="19" t="s">
        <v>21</v>
      </c>
      <c r="D13" s="6">
        <v>21000</v>
      </c>
      <c r="E13" s="6" t="str">
        <f t="shared" si="0"/>
        <v>NO</v>
      </c>
    </row>
  </sheetData>
  <sortState ref="A2:E13">
    <sortCondition ref="B2"/>
  </sortState>
  <conditionalFormatting sqref="A2:E13">
    <cfRule type="expression" dxfId="2" priority="1">
      <formula>$C2=$H$2</formula>
    </cfRule>
  </conditionalFormatting>
  <dataValidations count="1">
    <dataValidation type="list" allowBlank="1" showInputMessage="1" showErrorMessage="1" sqref="H2">
      <formula1>"CLERK, MANAGER, SUPERVISOR"</formula1>
    </dataValidation>
  </dataValidations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13"/>
  <sheetViews>
    <sheetView zoomScale="160" zoomScaleNormal="160" workbookViewId="0">
      <selection activeCell="D5" sqref="D5"/>
    </sheetView>
  </sheetViews>
  <sheetFormatPr defaultRowHeight="15" x14ac:dyDescent="0.25"/>
  <cols>
    <col min="1" max="1" width="11.7109375" style="20" customWidth="1"/>
    <col min="2" max="3" width="15.42578125" style="20" customWidth="1"/>
    <col min="4" max="4" width="13.7109375" style="20" customWidth="1"/>
    <col min="5" max="16384" width="9.140625" style="20"/>
  </cols>
  <sheetData>
    <row r="1" spans="1:7" x14ac:dyDescent="0.25">
      <c r="A1" s="6" t="s">
        <v>75</v>
      </c>
      <c r="B1" s="6" t="s">
        <v>74</v>
      </c>
      <c r="C1" s="6" t="s">
        <v>17</v>
      </c>
      <c r="D1" s="6" t="s">
        <v>73</v>
      </c>
      <c r="E1" s="6" t="s">
        <v>72</v>
      </c>
    </row>
    <row r="2" spans="1:7" x14ac:dyDescent="0.25">
      <c r="A2" s="18">
        <v>43934</v>
      </c>
      <c r="B2" s="19" t="s">
        <v>71</v>
      </c>
      <c r="C2" s="19" t="s">
        <v>18</v>
      </c>
      <c r="D2" s="6">
        <v>15000</v>
      </c>
      <c r="E2" s="6" t="str">
        <f t="shared" ref="E2:E13" si="0">IF(D2&lt;20000,"YES","NO")</f>
        <v>YES</v>
      </c>
      <c r="G2" s="20">
        <f>MOD(ROW(),2)</f>
        <v>0</v>
      </c>
    </row>
    <row r="3" spans="1:7" x14ac:dyDescent="0.25">
      <c r="A3" s="18">
        <v>43931</v>
      </c>
      <c r="B3" s="19" t="s">
        <v>61</v>
      </c>
      <c r="C3" s="19" t="s">
        <v>20</v>
      </c>
      <c r="D3" s="6">
        <v>18000</v>
      </c>
      <c r="E3" s="6" t="str">
        <f t="shared" si="0"/>
        <v>YES</v>
      </c>
      <c r="G3" s="20">
        <f>MOD(ROW(),2)</f>
        <v>1</v>
      </c>
    </row>
    <row r="4" spans="1:7" x14ac:dyDescent="0.25">
      <c r="A4" s="18">
        <v>43937</v>
      </c>
      <c r="B4" s="19" t="s">
        <v>62</v>
      </c>
      <c r="C4" s="19" t="s">
        <v>19</v>
      </c>
      <c r="D4" s="6">
        <v>35000</v>
      </c>
      <c r="E4" s="6" t="str">
        <f t="shared" si="0"/>
        <v>NO</v>
      </c>
      <c r="G4" s="20">
        <f t="shared" ref="G4:G13" si="1">MOD(ROW(),2)</f>
        <v>0</v>
      </c>
    </row>
    <row r="5" spans="1:7" x14ac:dyDescent="0.25">
      <c r="A5" s="18">
        <v>43935</v>
      </c>
      <c r="B5" s="19" t="s">
        <v>67</v>
      </c>
      <c r="C5" s="19" t="s">
        <v>18</v>
      </c>
      <c r="D5" s="6">
        <v>25000</v>
      </c>
      <c r="E5" s="6" t="str">
        <f t="shared" si="0"/>
        <v>NO</v>
      </c>
      <c r="G5" s="20">
        <f t="shared" si="1"/>
        <v>1</v>
      </c>
    </row>
    <row r="6" spans="1:7" x14ac:dyDescent="0.25">
      <c r="A6" s="18">
        <v>43940</v>
      </c>
      <c r="B6" s="19" t="s">
        <v>68</v>
      </c>
      <c r="C6" s="19" t="s">
        <v>21</v>
      </c>
      <c r="D6" s="6">
        <v>19000</v>
      </c>
      <c r="E6" s="6" t="str">
        <f t="shared" si="0"/>
        <v>YES</v>
      </c>
      <c r="G6" s="20">
        <f t="shared" si="1"/>
        <v>0</v>
      </c>
    </row>
    <row r="7" spans="1:7" x14ac:dyDescent="0.25">
      <c r="A7" s="18">
        <v>43936</v>
      </c>
      <c r="B7" s="19" t="s">
        <v>63</v>
      </c>
      <c r="C7" s="19" t="s">
        <v>18</v>
      </c>
      <c r="D7" s="6">
        <v>15000</v>
      </c>
      <c r="E7" s="6" t="str">
        <f t="shared" si="0"/>
        <v>YES</v>
      </c>
      <c r="G7" s="20">
        <f t="shared" si="1"/>
        <v>1</v>
      </c>
    </row>
    <row r="8" spans="1:7" x14ac:dyDescent="0.25">
      <c r="A8" s="18">
        <v>43932</v>
      </c>
      <c r="B8" s="19" t="s">
        <v>65</v>
      </c>
      <c r="C8" s="19" t="s">
        <v>20</v>
      </c>
      <c r="D8" s="6">
        <v>15000</v>
      </c>
      <c r="E8" s="6" t="str">
        <f t="shared" si="0"/>
        <v>YES</v>
      </c>
      <c r="G8" s="20">
        <f t="shared" si="1"/>
        <v>0</v>
      </c>
    </row>
    <row r="9" spans="1:7" x14ac:dyDescent="0.25">
      <c r="A9" s="18">
        <v>43938</v>
      </c>
      <c r="B9" s="19" t="s">
        <v>66</v>
      </c>
      <c r="C9" s="19" t="s">
        <v>19</v>
      </c>
      <c r="D9" s="6">
        <v>22000</v>
      </c>
      <c r="E9" s="6" t="str">
        <f t="shared" si="0"/>
        <v>NO</v>
      </c>
      <c r="G9" s="20">
        <f t="shared" si="1"/>
        <v>1</v>
      </c>
    </row>
    <row r="10" spans="1:7" x14ac:dyDescent="0.25">
      <c r="A10" s="18">
        <v>43939</v>
      </c>
      <c r="B10" s="19" t="s">
        <v>70</v>
      </c>
      <c r="C10" s="19" t="s">
        <v>19</v>
      </c>
      <c r="D10" s="6">
        <v>16000</v>
      </c>
      <c r="E10" s="6" t="str">
        <f t="shared" si="0"/>
        <v>YES</v>
      </c>
      <c r="G10" s="20">
        <f t="shared" si="1"/>
        <v>0</v>
      </c>
    </row>
    <row r="11" spans="1:7" x14ac:dyDescent="0.25">
      <c r="A11" s="18">
        <v>43933</v>
      </c>
      <c r="B11" s="19" t="s">
        <v>69</v>
      </c>
      <c r="C11" s="19" t="s">
        <v>20</v>
      </c>
      <c r="D11" s="6">
        <v>18000</v>
      </c>
      <c r="E11" s="6" t="str">
        <f t="shared" si="0"/>
        <v>YES</v>
      </c>
      <c r="G11" s="20">
        <f t="shared" si="1"/>
        <v>1</v>
      </c>
    </row>
    <row r="12" spans="1:7" x14ac:dyDescent="0.25">
      <c r="A12" s="18">
        <v>43941</v>
      </c>
      <c r="B12" s="19" t="s">
        <v>64</v>
      </c>
      <c r="C12" s="19" t="s">
        <v>21</v>
      </c>
      <c r="D12" s="6">
        <v>35000</v>
      </c>
      <c r="E12" s="6" t="str">
        <f t="shared" si="0"/>
        <v>NO</v>
      </c>
      <c r="G12" s="20">
        <f t="shared" si="1"/>
        <v>0</v>
      </c>
    </row>
    <row r="13" spans="1:7" x14ac:dyDescent="0.25">
      <c r="A13" s="18">
        <v>43942</v>
      </c>
      <c r="B13" s="19" t="s">
        <v>60</v>
      </c>
      <c r="C13" s="19" t="s">
        <v>21</v>
      </c>
      <c r="D13" s="6">
        <v>21000</v>
      </c>
      <c r="E13" s="6" t="str">
        <f t="shared" si="0"/>
        <v>NO</v>
      </c>
      <c r="G13" s="20">
        <f t="shared" si="1"/>
        <v>1</v>
      </c>
    </row>
  </sheetData>
  <conditionalFormatting sqref="A2:E13">
    <cfRule type="expression" dxfId="1" priority="1">
      <formula>MOD(ROW(),2)=0</formula>
    </cfRule>
  </conditionalFormatting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17"/>
  <sheetViews>
    <sheetView zoomScale="160" zoomScaleNormal="160" workbookViewId="0">
      <selection activeCell="D12" sqref="A1:E13"/>
    </sheetView>
  </sheetViews>
  <sheetFormatPr defaultRowHeight="15" x14ac:dyDescent="0.25"/>
  <cols>
    <col min="1" max="1" width="11.7109375" style="20" customWidth="1"/>
    <col min="2" max="3" width="15.42578125" style="20" customWidth="1"/>
    <col min="4" max="4" width="13.7109375" style="20" customWidth="1"/>
    <col min="5" max="7" width="9.140625" style="20"/>
    <col min="8" max="8" width="11" style="20" bestFit="1" customWidth="1"/>
    <col min="9" max="9" width="14.5703125" style="20" bestFit="1" customWidth="1"/>
    <col min="10" max="11" width="13.28515625" style="20" bestFit="1" customWidth="1"/>
    <col min="12" max="16384" width="9.140625" style="20"/>
  </cols>
  <sheetData>
    <row r="1" spans="1:12" x14ac:dyDescent="0.25">
      <c r="A1" s="6" t="s">
        <v>75</v>
      </c>
      <c r="B1" s="6" t="s">
        <v>74</v>
      </c>
      <c r="C1" s="6" t="s">
        <v>17</v>
      </c>
      <c r="D1" s="6" t="s">
        <v>73</v>
      </c>
      <c r="E1" s="6" t="s">
        <v>72</v>
      </c>
      <c r="I1" s="6" t="s">
        <v>74</v>
      </c>
      <c r="J1" s="6" t="s">
        <v>72</v>
      </c>
      <c r="K1" s="6" t="s">
        <v>73</v>
      </c>
    </row>
    <row r="2" spans="1:12" x14ac:dyDescent="0.25">
      <c r="A2" s="18">
        <v>43739</v>
      </c>
      <c r="B2" s="19" t="s">
        <v>71</v>
      </c>
      <c r="C2" s="19" t="s">
        <v>18</v>
      </c>
      <c r="D2" s="6">
        <v>15000</v>
      </c>
      <c r="E2" s="6" t="str">
        <f>IF(D2&lt;20000,"YES","NO")</f>
        <v>YES</v>
      </c>
      <c r="I2" s="19" t="s">
        <v>108</v>
      </c>
      <c r="J2" s="6" t="s">
        <v>76</v>
      </c>
      <c r="K2" s="6" t="s">
        <v>107</v>
      </c>
    </row>
    <row r="3" spans="1:12" x14ac:dyDescent="0.25">
      <c r="A3" s="18">
        <v>43749</v>
      </c>
      <c r="B3" s="19" t="s">
        <v>61</v>
      </c>
      <c r="C3" s="19" t="s">
        <v>20</v>
      </c>
      <c r="D3" s="6">
        <v>18000</v>
      </c>
      <c r="E3" s="6" t="str">
        <f>IF(D3&lt;20000,"YES","NO")</f>
        <v>YES</v>
      </c>
    </row>
    <row r="4" spans="1:12" x14ac:dyDescent="0.25">
      <c r="A4" s="18">
        <v>43748</v>
      </c>
      <c r="B4" s="19" t="s">
        <v>62</v>
      </c>
      <c r="C4" s="19" t="s">
        <v>19</v>
      </c>
      <c r="D4" s="6">
        <v>35000</v>
      </c>
      <c r="E4" s="6" t="s">
        <v>76</v>
      </c>
    </row>
    <row r="5" spans="1:12" x14ac:dyDescent="0.25">
      <c r="A5" s="18">
        <v>43743</v>
      </c>
      <c r="B5" s="19" t="s">
        <v>67</v>
      </c>
      <c r="C5" s="19" t="s">
        <v>18</v>
      </c>
      <c r="D5" s="6">
        <v>25000</v>
      </c>
      <c r="E5" s="6" t="str">
        <f>IF(D5&lt;20000,"YES","NO")</f>
        <v>NO</v>
      </c>
    </row>
    <row r="6" spans="1:12" x14ac:dyDescent="0.25">
      <c r="A6" s="18">
        <v>43742</v>
      </c>
      <c r="B6" s="19" t="s">
        <v>68</v>
      </c>
      <c r="C6" s="19" t="s">
        <v>21</v>
      </c>
      <c r="D6" s="6">
        <v>19000</v>
      </c>
      <c r="E6" s="6" t="str">
        <f>IF(D6&lt;20000,"YES","NO")</f>
        <v>YES</v>
      </c>
      <c r="H6" s="6"/>
      <c r="I6" s="6" t="s">
        <v>74</v>
      </c>
      <c r="J6" s="6" t="s">
        <v>73</v>
      </c>
      <c r="K6" s="6" t="s">
        <v>72</v>
      </c>
    </row>
    <row r="7" spans="1:12" x14ac:dyDescent="0.25">
      <c r="A7" s="18">
        <v>43747</v>
      </c>
      <c r="B7" s="19" t="s">
        <v>63</v>
      </c>
      <c r="C7" s="19" t="s">
        <v>18</v>
      </c>
      <c r="D7" s="6">
        <v>15000</v>
      </c>
      <c r="E7" s="6" t="str">
        <f>IF(D7&lt;20000,"YES","NO")</f>
        <v>YES</v>
      </c>
      <c r="H7" s="18"/>
      <c r="I7" s="19" t="s">
        <v>71</v>
      </c>
      <c r="J7" s="6">
        <v>15000</v>
      </c>
      <c r="K7" s="6" t="s">
        <v>76</v>
      </c>
      <c r="L7" s="6"/>
    </row>
    <row r="8" spans="1:12" x14ac:dyDescent="0.25">
      <c r="A8" s="18">
        <v>43745</v>
      </c>
      <c r="B8" s="19" t="s">
        <v>65</v>
      </c>
      <c r="C8" s="19" t="s">
        <v>20</v>
      </c>
      <c r="D8" s="6">
        <v>15000</v>
      </c>
      <c r="E8" s="6" t="str">
        <f>IF(D8&lt;20000,"YES","NO")</f>
        <v>YES</v>
      </c>
      <c r="H8" s="18"/>
      <c r="I8" s="19" t="s">
        <v>61</v>
      </c>
      <c r="J8" s="6">
        <v>18000</v>
      </c>
      <c r="K8" s="6" t="s">
        <v>76</v>
      </c>
      <c r="L8" s="6"/>
    </row>
    <row r="9" spans="1:12" x14ac:dyDescent="0.25">
      <c r="A9" s="18">
        <v>43744</v>
      </c>
      <c r="B9" s="19" t="s">
        <v>66</v>
      </c>
      <c r="C9" s="19" t="s">
        <v>19</v>
      </c>
      <c r="D9" s="6">
        <v>12000</v>
      </c>
      <c r="E9" s="6" t="s">
        <v>76</v>
      </c>
      <c r="H9" s="18"/>
      <c r="I9" s="19" t="s">
        <v>62</v>
      </c>
      <c r="J9" s="6">
        <v>35000</v>
      </c>
      <c r="K9" s="6" t="s">
        <v>76</v>
      </c>
      <c r="L9" s="6"/>
    </row>
    <row r="10" spans="1:12" x14ac:dyDescent="0.25">
      <c r="A10" s="18">
        <v>43740</v>
      </c>
      <c r="B10" s="19" t="s">
        <v>70</v>
      </c>
      <c r="C10" s="19" t="s">
        <v>19</v>
      </c>
      <c r="D10" s="6">
        <v>16000</v>
      </c>
      <c r="E10" s="6" t="str">
        <f>IF(D10&lt;20000,"YES","NO")</f>
        <v>YES</v>
      </c>
      <c r="H10" s="18"/>
      <c r="I10" s="19" t="s">
        <v>68</v>
      </c>
      <c r="J10" s="6">
        <v>19000</v>
      </c>
      <c r="K10" s="6" t="s">
        <v>76</v>
      </c>
      <c r="L10" s="6"/>
    </row>
    <row r="11" spans="1:12" x14ac:dyDescent="0.25">
      <c r="A11" s="18">
        <v>43741</v>
      </c>
      <c r="B11" s="19" t="s">
        <v>69</v>
      </c>
      <c r="C11" s="19" t="s">
        <v>20</v>
      </c>
      <c r="D11" s="6">
        <v>18000</v>
      </c>
      <c r="E11" s="6" t="str">
        <f>IF(D11&lt;20000,"YES","NO")</f>
        <v>YES</v>
      </c>
      <c r="H11" s="18"/>
      <c r="I11" s="19" t="s">
        <v>63</v>
      </c>
      <c r="J11" s="6">
        <v>15000</v>
      </c>
      <c r="K11" s="6" t="s">
        <v>76</v>
      </c>
      <c r="L11" s="6"/>
    </row>
    <row r="12" spans="1:12" x14ac:dyDescent="0.25">
      <c r="A12" s="18">
        <v>43746</v>
      </c>
      <c r="B12" s="19" t="s">
        <v>64</v>
      </c>
      <c r="C12" s="19" t="s">
        <v>21</v>
      </c>
      <c r="D12" s="6">
        <v>35000</v>
      </c>
      <c r="E12" s="6" t="str">
        <f>IF(D12&lt;20000,"YES","NO")</f>
        <v>NO</v>
      </c>
      <c r="H12" s="18"/>
      <c r="I12" s="19" t="s">
        <v>65</v>
      </c>
      <c r="J12" s="6">
        <v>15000</v>
      </c>
      <c r="K12" s="6" t="s">
        <v>76</v>
      </c>
      <c r="L12" s="6"/>
    </row>
    <row r="13" spans="1:12" x14ac:dyDescent="0.25">
      <c r="A13" s="18">
        <v>43750</v>
      </c>
      <c r="B13" s="19" t="s">
        <v>60</v>
      </c>
      <c r="C13" s="19" t="s">
        <v>21</v>
      </c>
      <c r="D13" s="6">
        <v>21000</v>
      </c>
      <c r="E13" s="6" t="str">
        <f>IF(D13&lt;20000,"YES","NO")</f>
        <v>NO</v>
      </c>
      <c r="H13" s="18"/>
      <c r="I13" s="19" t="s">
        <v>66</v>
      </c>
      <c r="J13" s="6">
        <v>12000</v>
      </c>
      <c r="K13" s="6" t="s">
        <v>76</v>
      </c>
      <c r="L13" s="6"/>
    </row>
    <row r="14" spans="1:12" x14ac:dyDescent="0.25">
      <c r="H14" s="18"/>
      <c r="I14" s="19" t="s">
        <v>70</v>
      </c>
      <c r="J14" s="6">
        <v>16000</v>
      </c>
      <c r="K14" s="6" t="s">
        <v>76</v>
      </c>
      <c r="L14" s="6"/>
    </row>
    <row r="15" spans="1:12" x14ac:dyDescent="0.25">
      <c r="H15" s="18"/>
      <c r="I15" s="19" t="s">
        <v>69</v>
      </c>
      <c r="J15" s="6">
        <v>18000</v>
      </c>
      <c r="K15" s="6" t="s">
        <v>76</v>
      </c>
      <c r="L15" s="6"/>
    </row>
    <row r="16" spans="1:12" x14ac:dyDescent="0.25">
      <c r="H16" s="18"/>
      <c r="I16" s="19"/>
      <c r="J16" s="19"/>
      <c r="K16" s="6"/>
      <c r="L16" s="6"/>
    </row>
    <row r="17" spans="8:12" x14ac:dyDescent="0.25">
      <c r="H17" s="18"/>
      <c r="I17" s="19"/>
      <c r="J17" s="19"/>
      <c r="K17" s="6"/>
      <c r="L17" s="6"/>
    </row>
  </sheetData>
  <sortState ref="A2:E13">
    <sortCondition ref="B13"/>
  </sortState>
  <pageMargins left="0.7" right="0.7" top="0.75" bottom="0.75" header="0.3" footer="0.3"/>
  <pageSetup paperSize="9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E3"/>
  <sheetViews>
    <sheetView zoomScale="190" zoomScaleNormal="190" workbookViewId="0">
      <selection activeCell="E3" sqref="E3"/>
    </sheetView>
  </sheetViews>
  <sheetFormatPr defaultRowHeight="15" x14ac:dyDescent="0.25"/>
  <cols>
    <col min="1" max="1" width="11" bestFit="1" customWidth="1"/>
    <col min="2" max="2" width="15.5703125" bestFit="1" customWidth="1"/>
    <col min="3" max="3" width="10.140625" bestFit="1" customWidth="1"/>
  </cols>
  <sheetData>
    <row r="1" spans="1:5" x14ac:dyDescent="0.25">
      <c r="A1" s="6" t="s">
        <v>75</v>
      </c>
      <c r="B1" s="6" t="s">
        <v>74</v>
      </c>
      <c r="C1" s="6" t="s">
        <v>17</v>
      </c>
      <c r="D1" s="6" t="s">
        <v>73</v>
      </c>
      <c r="E1" s="6" t="s">
        <v>72</v>
      </c>
    </row>
    <row r="2" spans="1:5" x14ac:dyDescent="0.25">
      <c r="A2" s="18">
        <v>43739</v>
      </c>
      <c r="B2" s="19" t="s">
        <v>71</v>
      </c>
      <c r="C2" s="19" t="s">
        <v>18</v>
      </c>
      <c r="D2" s="6">
        <v>15000</v>
      </c>
      <c r="E2" s="6" t="s">
        <v>76</v>
      </c>
    </row>
    <row r="3" spans="1:5" x14ac:dyDescent="0.25">
      <c r="A3" s="18">
        <v>43749</v>
      </c>
      <c r="B3" s="19" t="s">
        <v>61</v>
      </c>
      <c r="C3" s="19" t="s">
        <v>20</v>
      </c>
      <c r="D3" s="6">
        <v>18000</v>
      </c>
      <c r="E3" s="6" t="s">
        <v>76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M13"/>
  <sheetViews>
    <sheetView zoomScale="130" zoomScaleNormal="130" workbookViewId="0">
      <selection activeCell="C6" sqref="C6"/>
    </sheetView>
  </sheetViews>
  <sheetFormatPr defaultRowHeight="15" x14ac:dyDescent="0.25"/>
  <cols>
    <col min="1" max="1" width="11.7109375" style="20" customWidth="1"/>
    <col min="2" max="3" width="15.42578125" style="20" customWidth="1"/>
    <col min="4" max="4" width="13.7109375" style="20" customWidth="1"/>
    <col min="5" max="6" width="9.140625" style="20"/>
    <col min="7" max="7" width="13" style="20" customWidth="1"/>
    <col min="8" max="8" width="9.140625" style="20"/>
    <col min="9" max="9" width="11.28515625" style="20" bestFit="1" customWidth="1"/>
    <col min="10" max="10" width="14.5703125" style="20" bestFit="1" customWidth="1"/>
    <col min="11" max="11" width="12" style="20" bestFit="1" customWidth="1"/>
    <col min="12" max="16384" width="9.140625" style="20"/>
  </cols>
  <sheetData>
    <row r="1" spans="1:13" x14ac:dyDescent="0.25">
      <c r="A1" s="6" t="s">
        <v>75</v>
      </c>
      <c r="B1" s="6" t="s">
        <v>74</v>
      </c>
      <c r="C1" s="6" t="s">
        <v>17</v>
      </c>
      <c r="D1" s="6" t="s">
        <v>73</v>
      </c>
      <c r="E1" s="6" t="s">
        <v>72</v>
      </c>
      <c r="G1" s="6" t="s">
        <v>17</v>
      </c>
      <c r="I1" s="6" t="s">
        <v>75</v>
      </c>
      <c r="J1" s="6" t="s">
        <v>74</v>
      </c>
      <c r="K1" s="6" t="s">
        <v>17</v>
      </c>
      <c r="L1" s="6" t="s">
        <v>73</v>
      </c>
      <c r="M1" s="6" t="s">
        <v>72</v>
      </c>
    </row>
    <row r="2" spans="1:13" x14ac:dyDescent="0.25">
      <c r="A2" s="18">
        <v>43739</v>
      </c>
      <c r="B2" s="19" t="s">
        <v>71</v>
      </c>
      <c r="C2" s="19" t="s">
        <v>18</v>
      </c>
      <c r="D2" s="6">
        <v>15000</v>
      </c>
      <c r="E2" s="6" t="str">
        <f>IF(D2&lt;20000,"YES","NO")</f>
        <v>YES</v>
      </c>
      <c r="G2" s="19" t="s">
        <v>18</v>
      </c>
      <c r="I2" s="18">
        <v>43739</v>
      </c>
      <c r="J2" s="19" t="s">
        <v>71</v>
      </c>
      <c r="K2" s="19" t="s">
        <v>18</v>
      </c>
      <c r="L2" s="6">
        <v>15000</v>
      </c>
      <c r="M2" s="6" t="s">
        <v>76</v>
      </c>
    </row>
    <row r="3" spans="1:13" x14ac:dyDescent="0.25">
      <c r="A3" s="18">
        <v>43749</v>
      </c>
      <c r="B3" s="19" t="s">
        <v>61</v>
      </c>
      <c r="C3" s="19" t="s">
        <v>20</v>
      </c>
      <c r="D3" s="6">
        <v>18000</v>
      </c>
      <c r="E3" s="6" t="str">
        <f>IF(D3&lt;20000,"YES","NO")</f>
        <v>YES</v>
      </c>
      <c r="I3" s="18">
        <v>43743</v>
      </c>
      <c r="J3" s="19" t="s">
        <v>67</v>
      </c>
      <c r="K3" s="19" t="s">
        <v>18</v>
      </c>
      <c r="L3" s="6">
        <v>25000</v>
      </c>
      <c r="M3" s="6" t="s">
        <v>77</v>
      </c>
    </row>
    <row r="4" spans="1:13" x14ac:dyDescent="0.25">
      <c r="A4" s="18">
        <v>43748</v>
      </c>
      <c r="B4" s="19" t="s">
        <v>62</v>
      </c>
      <c r="C4" s="19" t="s">
        <v>19</v>
      </c>
      <c r="D4" s="6">
        <v>35000</v>
      </c>
      <c r="E4" s="6" t="s">
        <v>76</v>
      </c>
      <c r="I4" s="18">
        <v>43747</v>
      </c>
      <c r="J4" s="19" t="s">
        <v>63</v>
      </c>
      <c r="K4" s="19" t="s">
        <v>18</v>
      </c>
      <c r="L4" s="6">
        <v>15000</v>
      </c>
      <c r="M4" s="6" t="s">
        <v>76</v>
      </c>
    </row>
    <row r="5" spans="1:13" x14ac:dyDescent="0.25">
      <c r="A5" s="18">
        <v>43743</v>
      </c>
      <c r="B5" s="19" t="s">
        <v>67</v>
      </c>
      <c r="C5" s="19" t="s">
        <v>18</v>
      </c>
      <c r="D5" s="6">
        <v>25000</v>
      </c>
      <c r="E5" s="6" t="str">
        <f>IF(D5&lt;20000,"YES","NO")</f>
        <v>NO</v>
      </c>
    </row>
    <row r="6" spans="1:13" x14ac:dyDescent="0.25">
      <c r="A6" s="18">
        <v>43742</v>
      </c>
      <c r="B6" s="19" t="s">
        <v>68</v>
      </c>
      <c r="C6" s="19" t="s">
        <v>21</v>
      </c>
      <c r="D6" s="6">
        <v>19000</v>
      </c>
      <c r="E6" s="6" t="str">
        <f>IF(D6&lt;20000,"YES","NO")</f>
        <v>YES</v>
      </c>
    </row>
    <row r="7" spans="1:13" x14ac:dyDescent="0.25">
      <c r="A7" s="18">
        <v>43747</v>
      </c>
      <c r="B7" s="19" t="s">
        <v>63</v>
      </c>
      <c r="C7" s="19" t="s">
        <v>18</v>
      </c>
      <c r="D7" s="6">
        <v>15000</v>
      </c>
      <c r="E7" s="6" t="str">
        <f>IF(D7&lt;20000,"YES","NO")</f>
        <v>YES</v>
      </c>
    </row>
    <row r="8" spans="1:13" x14ac:dyDescent="0.25">
      <c r="A8" s="18">
        <v>43745</v>
      </c>
      <c r="B8" s="19" t="s">
        <v>65</v>
      </c>
      <c r="C8" s="19" t="s">
        <v>20</v>
      </c>
      <c r="D8" s="6">
        <v>15000</v>
      </c>
      <c r="E8" s="6" t="str">
        <f>IF(D8&lt;20000,"YES","NO")</f>
        <v>YES</v>
      </c>
    </row>
    <row r="9" spans="1:13" x14ac:dyDescent="0.25">
      <c r="A9" s="18">
        <v>43744</v>
      </c>
      <c r="B9" s="19" t="s">
        <v>66</v>
      </c>
      <c r="C9" s="19" t="s">
        <v>19</v>
      </c>
      <c r="D9" s="6">
        <v>12000</v>
      </c>
      <c r="E9" s="6" t="s">
        <v>76</v>
      </c>
    </row>
    <row r="10" spans="1:13" x14ac:dyDescent="0.25">
      <c r="A10" s="18">
        <v>43740</v>
      </c>
      <c r="B10" s="19" t="s">
        <v>70</v>
      </c>
      <c r="C10" s="19" t="s">
        <v>19</v>
      </c>
      <c r="D10" s="6">
        <v>16000</v>
      </c>
      <c r="E10" s="6" t="str">
        <f>IF(D10&lt;20000,"YES","NO")</f>
        <v>YES</v>
      </c>
    </row>
    <row r="11" spans="1:13" x14ac:dyDescent="0.25">
      <c r="A11" s="18">
        <v>43741</v>
      </c>
      <c r="B11" s="19" t="s">
        <v>69</v>
      </c>
      <c r="C11" s="19" t="s">
        <v>20</v>
      </c>
      <c r="D11" s="6">
        <v>18000</v>
      </c>
      <c r="E11" s="6" t="str">
        <f>IF(D11&lt;20000,"YES","NO")</f>
        <v>YES</v>
      </c>
    </row>
    <row r="12" spans="1:13" x14ac:dyDescent="0.25">
      <c r="A12" s="18">
        <v>43746</v>
      </c>
      <c r="B12" s="19" t="s">
        <v>64</v>
      </c>
      <c r="C12" s="19" t="s">
        <v>21</v>
      </c>
      <c r="D12" s="6">
        <v>35000</v>
      </c>
      <c r="E12" s="6" t="str">
        <f>IF(D12&lt;20000,"YES","NO")</f>
        <v>NO</v>
      </c>
    </row>
    <row r="13" spans="1:13" x14ac:dyDescent="0.25">
      <c r="A13" s="18">
        <v>43750</v>
      </c>
      <c r="B13" s="19" t="s">
        <v>60</v>
      </c>
      <c r="C13" s="19" t="s">
        <v>21</v>
      </c>
      <c r="D13" s="6">
        <v>21000</v>
      </c>
      <c r="E13" s="6" t="str">
        <f>IF(D13&lt;20000,"YES","NO")</f>
        <v>NO</v>
      </c>
    </row>
  </sheetData>
  <dataValidations count="1">
    <dataValidation type="list" allowBlank="1" showInputMessage="1" showErrorMessage="1" sqref="G2">
      <formula1>"MANAGER,SUPERVISOR,CLERK"</formula1>
    </dataValidation>
  </dataValidations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6"/>
  <sheetViews>
    <sheetView zoomScale="220" zoomScaleNormal="220" workbookViewId="0">
      <selection activeCell="A4" sqref="A4"/>
    </sheetView>
  </sheetViews>
  <sheetFormatPr defaultRowHeight="15" x14ac:dyDescent="0.25"/>
  <cols>
    <col min="1" max="1" width="25.140625" customWidth="1"/>
    <col min="2" max="2" width="17" customWidth="1"/>
  </cols>
  <sheetData>
    <row r="1" spans="1:2" ht="16.5" x14ac:dyDescent="0.25">
      <c r="A1" s="21" t="s">
        <v>106</v>
      </c>
      <c r="B1" s="21" t="s">
        <v>123</v>
      </c>
    </row>
    <row r="2" spans="1:2" x14ac:dyDescent="0.25">
      <c r="A2" s="28" t="s">
        <v>128</v>
      </c>
      <c r="B2" s="28">
        <v>205</v>
      </c>
    </row>
    <row r="3" spans="1:2" x14ac:dyDescent="0.25">
      <c r="A3" s="28" t="s">
        <v>125</v>
      </c>
      <c r="B3" s="28">
        <v>200</v>
      </c>
    </row>
    <row r="4" spans="1:2" x14ac:dyDescent="0.25">
      <c r="A4" s="28" t="s">
        <v>124</v>
      </c>
      <c r="B4" s="28">
        <v>178</v>
      </c>
    </row>
    <row r="5" spans="1:2" x14ac:dyDescent="0.25">
      <c r="A5" s="28" t="s">
        <v>126</v>
      </c>
      <c r="B5" s="28">
        <v>150</v>
      </c>
    </row>
    <row r="6" spans="1:2" x14ac:dyDescent="0.25">
      <c r="A6" s="28" t="s">
        <v>127</v>
      </c>
      <c r="B6" s="28">
        <v>100</v>
      </c>
    </row>
  </sheetData>
  <sortState ref="A2:B6">
    <sortCondition descending="1" ref="B1"/>
  </sortState>
  <conditionalFormatting sqref="A1:B6">
    <cfRule type="expression" dxfId="0" priority="9">
      <formula>$A1=#REF!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14"/>
  <sheetViews>
    <sheetView topLeftCell="A3" zoomScale="160" zoomScaleNormal="160" workbookViewId="0">
      <selection activeCell="C1" sqref="A1:C14"/>
    </sheetView>
  </sheetViews>
  <sheetFormatPr defaultRowHeight="15" x14ac:dyDescent="0.25"/>
  <cols>
    <col min="1" max="1" width="12.140625" bestFit="1" customWidth="1"/>
    <col min="2" max="2" width="11.85546875" customWidth="1"/>
    <col min="3" max="3" width="11.28515625" bestFit="1" customWidth="1"/>
    <col min="6" max="6" width="16.140625" bestFit="1" customWidth="1"/>
    <col min="8" max="8" width="24" customWidth="1"/>
    <col min="9" max="9" width="11" customWidth="1"/>
    <col min="10" max="10" width="15.5703125" bestFit="1" customWidth="1"/>
  </cols>
  <sheetData>
    <row r="1" spans="1:11" x14ac:dyDescent="0.25">
      <c r="A1" s="29" t="s">
        <v>129</v>
      </c>
      <c r="B1" t="s">
        <v>130</v>
      </c>
      <c r="C1" t="s">
        <v>131</v>
      </c>
      <c r="F1" t="s">
        <v>121</v>
      </c>
      <c r="H1" t="s">
        <v>122</v>
      </c>
    </row>
    <row r="2" spans="1:11" x14ac:dyDescent="0.25">
      <c r="A2" s="22" t="s">
        <v>132</v>
      </c>
      <c r="B2" t="s">
        <v>133</v>
      </c>
      <c r="C2" t="s">
        <v>134</v>
      </c>
      <c r="F2" t="s">
        <v>170</v>
      </c>
      <c r="G2">
        <v>400079</v>
      </c>
      <c r="H2" s="22" t="s">
        <v>172</v>
      </c>
      <c r="I2" t="s">
        <v>173</v>
      </c>
      <c r="J2" t="s">
        <v>177</v>
      </c>
      <c r="K2">
        <v>400086</v>
      </c>
    </row>
    <row r="3" spans="1:11" x14ac:dyDescent="0.25">
      <c r="A3" s="22" t="s">
        <v>135</v>
      </c>
      <c r="B3" t="s">
        <v>136</v>
      </c>
      <c r="C3" t="s">
        <v>137</v>
      </c>
      <c r="F3" t="s">
        <v>171</v>
      </c>
      <c r="G3">
        <v>413209</v>
      </c>
      <c r="H3" s="22" t="s">
        <v>174</v>
      </c>
      <c r="I3" t="s">
        <v>173</v>
      </c>
      <c r="J3" s="22" t="s">
        <v>177</v>
      </c>
      <c r="K3">
        <v>400087</v>
      </c>
    </row>
    <row r="4" spans="1:11" x14ac:dyDescent="0.25">
      <c r="A4" s="22" t="s">
        <v>138</v>
      </c>
      <c r="B4" t="s">
        <v>139</v>
      </c>
      <c r="C4" t="s">
        <v>140</v>
      </c>
      <c r="F4" s="22" t="s">
        <v>170</v>
      </c>
      <c r="G4">
        <v>400080</v>
      </c>
      <c r="H4" s="22" t="s">
        <v>175</v>
      </c>
      <c r="I4" t="s">
        <v>173</v>
      </c>
      <c r="J4" s="22" t="s">
        <v>177</v>
      </c>
      <c r="K4">
        <v>400088</v>
      </c>
    </row>
    <row r="5" spans="1:11" x14ac:dyDescent="0.25">
      <c r="A5" s="22" t="s">
        <v>141</v>
      </c>
      <c r="B5" t="s">
        <v>142</v>
      </c>
      <c r="C5" t="s">
        <v>143</v>
      </c>
      <c r="F5" s="22" t="s">
        <v>171</v>
      </c>
      <c r="G5">
        <v>413210</v>
      </c>
      <c r="H5" s="22" t="s">
        <v>176</v>
      </c>
      <c r="I5" t="s">
        <v>173</v>
      </c>
      <c r="J5" s="22" t="s">
        <v>177</v>
      </c>
      <c r="K5">
        <v>400089</v>
      </c>
    </row>
    <row r="6" spans="1:11" x14ac:dyDescent="0.25">
      <c r="A6" s="22" t="s">
        <v>144</v>
      </c>
      <c r="B6" t="s">
        <v>145</v>
      </c>
      <c r="C6" t="s">
        <v>146</v>
      </c>
      <c r="F6" s="22" t="s">
        <v>170</v>
      </c>
      <c r="G6">
        <v>400081</v>
      </c>
      <c r="J6" s="22" t="s">
        <v>177</v>
      </c>
      <c r="K6">
        <v>400090</v>
      </c>
    </row>
    <row r="7" spans="1:11" x14ac:dyDescent="0.25">
      <c r="A7" s="22" t="s">
        <v>147</v>
      </c>
      <c r="B7" t="s">
        <v>148</v>
      </c>
      <c r="C7" t="s">
        <v>149</v>
      </c>
      <c r="F7" s="22" t="s">
        <v>171</v>
      </c>
      <c r="G7">
        <v>413211</v>
      </c>
      <c r="J7" s="22" t="s">
        <v>177</v>
      </c>
      <c r="K7">
        <v>400091</v>
      </c>
    </row>
    <row r="8" spans="1:11" x14ac:dyDescent="0.25">
      <c r="A8" s="22" t="s">
        <v>150</v>
      </c>
      <c r="B8" t="s">
        <v>151</v>
      </c>
      <c r="C8" t="s">
        <v>140</v>
      </c>
      <c r="F8" s="22" t="s">
        <v>170</v>
      </c>
      <c r="G8">
        <v>400082</v>
      </c>
      <c r="J8" s="22" t="s">
        <v>177</v>
      </c>
      <c r="K8">
        <v>400092</v>
      </c>
    </row>
    <row r="9" spans="1:11" x14ac:dyDescent="0.25">
      <c r="A9" s="22" t="s">
        <v>152</v>
      </c>
      <c r="B9" t="s">
        <v>153</v>
      </c>
      <c r="C9" t="s">
        <v>154</v>
      </c>
      <c r="D9" t="s">
        <v>155</v>
      </c>
      <c r="F9" s="22" t="s">
        <v>171</v>
      </c>
      <c r="G9">
        <v>413212</v>
      </c>
      <c r="J9" s="22" t="s">
        <v>177</v>
      </c>
      <c r="K9">
        <v>400093</v>
      </c>
    </row>
    <row r="10" spans="1:11" x14ac:dyDescent="0.25">
      <c r="A10" s="22" t="s">
        <v>156</v>
      </c>
      <c r="B10" t="s">
        <v>157</v>
      </c>
      <c r="C10" t="s">
        <v>158</v>
      </c>
      <c r="F10" s="22" t="s">
        <v>170</v>
      </c>
      <c r="G10">
        <v>400083</v>
      </c>
      <c r="J10" s="22" t="s">
        <v>177</v>
      </c>
      <c r="K10">
        <v>400094</v>
      </c>
    </row>
    <row r="11" spans="1:11" x14ac:dyDescent="0.25">
      <c r="A11" s="22" t="s">
        <v>159</v>
      </c>
      <c r="B11" t="s">
        <v>160</v>
      </c>
      <c r="C11" t="s">
        <v>146</v>
      </c>
      <c r="F11" s="22" t="s">
        <v>170</v>
      </c>
      <c r="G11">
        <v>400080</v>
      </c>
    </row>
    <row r="12" spans="1:11" x14ac:dyDescent="0.25">
      <c r="A12" s="22" t="s">
        <v>161</v>
      </c>
      <c r="B12" t="s">
        <v>162</v>
      </c>
      <c r="C12" t="s">
        <v>163</v>
      </c>
      <c r="F12" s="22" t="s">
        <v>171</v>
      </c>
      <c r="G12">
        <v>413210</v>
      </c>
    </row>
    <row r="13" spans="1:11" x14ac:dyDescent="0.25">
      <c r="A13" s="22" t="s">
        <v>164</v>
      </c>
      <c r="B13" t="s">
        <v>165</v>
      </c>
      <c r="C13" t="s">
        <v>166</v>
      </c>
      <c r="F13" s="22" t="s">
        <v>170</v>
      </c>
      <c r="G13">
        <v>400081</v>
      </c>
    </row>
    <row r="14" spans="1:11" x14ac:dyDescent="0.25">
      <c r="A14" s="22" t="s">
        <v>167</v>
      </c>
      <c r="B14" t="s">
        <v>168</v>
      </c>
      <c r="C14" t="s">
        <v>169</v>
      </c>
      <c r="F14" s="22" t="s">
        <v>171</v>
      </c>
      <c r="G14">
        <v>413211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14"/>
  <sheetViews>
    <sheetView zoomScale="145" zoomScaleNormal="145" workbookViewId="0">
      <selection activeCell="D1" sqref="D1:D14"/>
    </sheetView>
  </sheetViews>
  <sheetFormatPr defaultRowHeight="15" x14ac:dyDescent="0.25"/>
  <cols>
    <col min="1" max="1" width="12.140625" bestFit="1" customWidth="1"/>
    <col min="2" max="2" width="10.7109375" bestFit="1" customWidth="1"/>
    <col min="3" max="3" width="13.28515625" customWidth="1"/>
    <col min="4" max="4" width="32.140625" customWidth="1"/>
    <col min="5" max="5" width="25.5703125" customWidth="1"/>
  </cols>
  <sheetData>
    <row r="1" spans="1:6" x14ac:dyDescent="0.25">
      <c r="A1" s="29" t="s">
        <v>129</v>
      </c>
      <c r="B1" s="22" t="s">
        <v>178</v>
      </c>
      <c r="C1" s="22" t="s">
        <v>131</v>
      </c>
      <c r="D1" s="37" t="s">
        <v>180</v>
      </c>
      <c r="E1" s="37" t="s">
        <v>194</v>
      </c>
      <c r="F1" t="s">
        <v>195</v>
      </c>
    </row>
    <row r="2" spans="1:6" x14ac:dyDescent="0.25">
      <c r="A2" s="22" t="s">
        <v>132</v>
      </c>
      <c r="B2" s="22" t="s">
        <v>133</v>
      </c>
      <c r="C2" s="22" t="s">
        <v>134</v>
      </c>
      <c r="D2" t="s">
        <v>109</v>
      </c>
      <c r="E2" t="s">
        <v>181</v>
      </c>
    </row>
    <row r="3" spans="1:6" x14ac:dyDescent="0.25">
      <c r="A3" s="22" t="s">
        <v>135</v>
      </c>
      <c r="B3" s="22" t="s">
        <v>136</v>
      </c>
      <c r="C3" s="22" t="s">
        <v>137</v>
      </c>
      <c r="D3" s="22" t="s">
        <v>110</v>
      </c>
      <c r="E3" s="22" t="s">
        <v>182</v>
      </c>
    </row>
    <row r="4" spans="1:6" x14ac:dyDescent="0.25">
      <c r="A4" s="22" t="s">
        <v>138</v>
      </c>
      <c r="B4" s="22" t="s">
        <v>139</v>
      </c>
      <c r="C4" s="22" t="s">
        <v>140</v>
      </c>
      <c r="D4" s="22" t="s">
        <v>111</v>
      </c>
      <c r="E4" s="22" t="s">
        <v>183</v>
      </c>
    </row>
    <row r="5" spans="1:6" x14ac:dyDescent="0.25">
      <c r="A5" s="22" t="s">
        <v>141</v>
      </c>
      <c r="B5" s="22" t="s">
        <v>142</v>
      </c>
      <c r="C5" s="22" t="s">
        <v>143</v>
      </c>
      <c r="D5" s="22" t="s">
        <v>112</v>
      </c>
      <c r="E5" s="22" t="s">
        <v>184</v>
      </c>
    </row>
    <row r="6" spans="1:6" x14ac:dyDescent="0.25">
      <c r="A6" s="22" t="s">
        <v>144</v>
      </c>
      <c r="B6" s="22" t="s">
        <v>145</v>
      </c>
      <c r="C6" s="22" t="s">
        <v>146</v>
      </c>
      <c r="D6" s="22" t="s">
        <v>113</v>
      </c>
      <c r="E6" s="22" t="s">
        <v>185</v>
      </c>
    </row>
    <row r="7" spans="1:6" x14ac:dyDescent="0.25">
      <c r="A7" s="22" t="s">
        <v>147</v>
      </c>
      <c r="B7" s="22" t="s">
        <v>148</v>
      </c>
      <c r="C7" s="22" t="s">
        <v>149</v>
      </c>
      <c r="D7" s="22" t="s">
        <v>114</v>
      </c>
      <c r="E7" s="22" t="s">
        <v>186</v>
      </c>
    </row>
    <row r="8" spans="1:6" x14ac:dyDescent="0.25">
      <c r="A8" s="22" t="s">
        <v>150</v>
      </c>
      <c r="B8" s="22" t="s">
        <v>151</v>
      </c>
      <c r="C8" s="22" t="s">
        <v>140</v>
      </c>
      <c r="D8" s="22" t="s">
        <v>115</v>
      </c>
      <c r="E8" s="22" t="s">
        <v>187</v>
      </c>
    </row>
    <row r="9" spans="1:6" x14ac:dyDescent="0.25">
      <c r="A9" s="22" t="s">
        <v>152</v>
      </c>
      <c r="B9" s="22" t="s">
        <v>153</v>
      </c>
      <c r="C9" s="22" t="s">
        <v>154</v>
      </c>
      <c r="D9" s="22" t="s">
        <v>179</v>
      </c>
      <c r="E9" s="22" t="s">
        <v>188</v>
      </c>
    </row>
    <row r="10" spans="1:6" x14ac:dyDescent="0.25">
      <c r="A10" s="22" t="s">
        <v>156</v>
      </c>
      <c r="B10" s="22" t="s">
        <v>157</v>
      </c>
      <c r="C10" s="22" t="s">
        <v>158</v>
      </c>
      <c r="D10" s="22" t="s">
        <v>116</v>
      </c>
      <c r="E10" s="22" t="s">
        <v>189</v>
      </c>
    </row>
    <row r="11" spans="1:6" x14ac:dyDescent="0.25">
      <c r="A11" s="22" t="s">
        <v>159</v>
      </c>
      <c r="B11" s="22" t="s">
        <v>160</v>
      </c>
      <c r="C11" s="22" t="s">
        <v>146</v>
      </c>
      <c r="D11" s="22" t="s">
        <v>117</v>
      </c>
      <c r="E11" s="22" t="s">
        <v>190</v>
      </c>
    </row>
    <row r="12" spans="1:6" x14ac:dyDescent="0.25">
      <c r="A12" s="22" t="s">
        <v>161</v>
      </c>
      <c r="B12" s="22" t="s">
        <v>162</v>
      </c>
      <c r="C12" s="22" t="s">
        <v>163</v>
      </c>
      <c r="D12" s="22" t="s">
        <v>118</v>
      </c>
      <c r="E12" s="22" t="s">
        <v>191</v>
      </c>
    </row>
    <row r="13" spans="1:6" x14ac:dyDescent="0.25">
      <c r="A13" s="22" t="s">
        <v>164</v>
      </c>
      <c r="B13" s="22" t="s">
        <v>165</v>
      </c>
      <c r="C13" s="22" t="s">
        <v>166</v>
      </c>
      <c r="D13" s="22" t="s">
        <v>119</v>
      </c>
      <c r="E13" s="22" t="s">
        <v>192</v>
      </c>
    </row>
    <row r="14" spans="1:6" x14ac:dyDescent="0.25">
      <c r="A14" s="22" t="s">
        <v>167</v>
      </c>
      <c r="B14" s="22" t="s">
        <v>168</v>
      </c>
      <c r="C14" s="22" t="s">
        <v>169</v>
      </c>
      <c r="D14" s="22" t="s">
        <v>120</v>
      </c>
      <c r="E14" s="22" t="s">
        <v>193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B50"/>
  <sheetViews>
    <sheetView zoomScale="190" zoomScaleNormal="190" workbookViewId="0">
      <selection activeCell="A6" sqref="A6"/>
    </sheetView>
  </sheetViews>
  <sheetFormatPr defaultRowHeight="15" outlineLevelRow="1" x14ac:dyDescent="0.25"/>
  <cols>
    <col min="1" max="1" width="15.5703125" bestFit="1" customWidth="1"/>
    <col min="2" max="2" width="10.5703125" customWidth="1"/>
  </cols>
  <sheetData>
    <row r="1" spans="1:2" x14ac:dyDescent="0.25">
      <c r="A1" s="6" t="s">
        <v>74</v>
      </c>
      <c r="B1" s="6" t="s">
        <v>196</v>
      </c>
    </row>
    <row r="2" spans="1:2" x14ac:dyDescent="0.25">
      <c r="A2" s="19" t="s">
        <v>71</v>
      </c>
      <c r="B2" s="6">
        <v>102000</v>
      </c>
    </row>
    <row r="3" spans="1:2" x14ac:dyDescent="0.25">
      <c r="A3" s="19" t="s">
        <v>61</v>
      </c>
      <c r="B3" s="6">
        <v>54000</v>
      </c>
    </row>
    <row r="4" spans="1:2" x14ac:dyDescent="0.25">
      <c r="A4" s="19" t="s">
        <v>62</v>
      </c>
      <c r="B4" s="6">
        <v>105000</v>
      </c>
    </row>
    <row r="5" spans="1:2" x14ac:dyDescent="0.25">
      <c r="A5" s="19" t="s">
        <v>68</v>
      </c>
      <c r="B5" s="6">
        <v>57000</v>
      </c>
    </row>
    <row r="6" spans="1:2" x14ac:dyDescent="0.25">
      <c r="A6" s="19" t="s">
        <v>63</v>
      </c>
      <c r="B6" s="6">
        <v>45000</v>
      </c>
    </row>
    <row r="7" spans="1:2" x14ac:dyDescent="0.25">
      <c r="A7" s="19" t="s">
        <v>65</v>
      </c>
      <c r="B7" s="6">
        <v>45000</v>
      </c>
    </row>
    <row r="8" spans="1:2" x14ac:dyDescent="0.25">
      <c r="A8" s="19" t="s">
        <v>66</v>
      </c>
      <c r="B8" s="6">
        <v>36000</v>
      </c>
    </row>
    <row r="9" spans="1:2" x14ac:dyDescent="0.25">
      <c r="A9" s="19" t="s">
        <v>70</v>
      </c>
      <c r="B9" s="6">
        <v>48000</v>
      </c>
    </row>
    <row r="10" spans="1:2" x14ac:dyDescent="0.25">
      <c r="A10" s="19" t="s">
        <v>69</v>
      </c>
      <c r="B10" s="6">
        <v>54000</v>
      </c>
    </row>
    <row r="14" spans="1:2" x14ac:dyDescent="0.25">
      <c r="A14" s="6" t="s">
        <v>74</v>
      </c>
      <c r="B14" s="6" t="s">
        <v>196</v>
      </c>
    </row>
    <row r="15" spans="1:2" s="22" customFormat="1" hidden="1" outlineLevel="1" x14ac:dyDescent="0.25">
      <c r="A15" s="6"/>
      <c r="B15" s="6">
        <f>'PART 20-1'!$B$2</f>
        <v>10000</v>
      </c>
    </row>
    <row r="16" spans="1:2" s="22" customFormat="1" hidden="1" outlineLevel="1" x14ac:dyDescent="0.25">
      <c r="A16" s="6"/>
      <c r="B16" s="6">
        <f>'PART 20-2'!$B$2</f>
        <v>19000</v>
      </c>
    </row>
    <row r="17" spans="1:2" s="22" customFormat="1" hidden="1" outlineLevel="1" x14ac:dyDescent="0.25">
      <c r="A17" s="6"/>
      <c r="B17" s="6">
        <f>'PART 20-3'!$B$2</f>
        <v>23000</v>
      </c>
    </row>
    <row r="18" spans="1:2" collapsed="1" x14ac:dyDescent="0.25">
      <c r="A18" s="19" t="s">
        <v>71</v>
      </c>
      <c r="B18" s="6">
        <f>SUM(B15:B17)</f>
        <v>52000</v>
      </c>
    </row>
    <row r="19" spans="1:2" s="22" customFormat="1" hidden="1" outlineLevel="1" x14ac:dyDescent="0.25">
      <c r="A19" s="19"/>
      <c r="B19" s="6">
        <f>'PART 20-1'!$B$3</f>
        <v>18000</v>
      </c>
    </row>
    <row r="20" spans="1:2" s="22" customFormat="1" hidden="1" outlineLevel="1" x14ac:dyDescent="0.25">
      <c r="A20" s="19"/>
      <c r="B20" s="6">
        <f>'PART 20-2'!$B$3</f>
        <v>18000</v>
      </c>
    </row>
    <row r="21" spans="1:2" s="22" customFormat="1" hidden="1" outlineLevel="1" x14ac:dyDescent="0.25">
      <c r="A21" s="19"/>
      <c r="B21" s="6">
        <f>'PART 20-3'!$B$3</f>
        <v>18000</v>
      </c>
    </row>
    <row r="22" spans="1:2" collapsed="1" x14ac:dyDescent="0.25">
      <c r="A22" s="19" t="s">
        <v>61</v>
      </c>
      <c r="B22" s="6">
        <f>SUM(B19:B21)</f>
        <v>54000</v>
      </c>
    </row>
    <row r="23" spans="1:2" s="22" customFormat="1" hidden="1" outlineLevel="1" x14ac:dyDescent="0.25">
      <c r="A23" s="19"/>
      <c r="B23" s="6">
        <f>'PART 20-1'!$B$4</f>
        <v>35000</v>
      </c>
    </row>
    <row r="24" spans="1:2" s="22" customFormat="1" hidden="1" outlineLevel="1" x14ac:dyDescent="0.25">
      <c r="A24" s="19"/>
      <c r="B24" s="6">
        <f>'PART 20-2'!$B$4</f>
        <v>35000</v>
      </c>
    </row>
    <row r="25" spans="1:2" s="22" customFormat="1" hidden="1" outlineLevel="1" x14ac:dyDescent="0.25">
      <c r="A25" s="19"/>
      <c r="B25" s="6">
        <f>'PART 20-3'!$B$4</f>
        <v>35000</v>
      </c>
    </row>
    <row r="26" spans="1:2" collapsed="1" x14ac:dyDescent="0.25">
      <c r="A26" s="19" t="s">
        <v>62</v>
      </c>
      <c r="B26" s="6">
        <f>SUM(B23:B25)</f>
        <v>105000</v>
      </c>
    </row>
    <row r="27" spans="1:2" s="22" customFormat="1" hidden="1" outlineLevel="1" x14ac:dyDescent="0.25">
      <c r="A27" s="19"/>
      <c r="B27" s="6">
        <f>'PART 20-1'!$B$5</f>
        <v>19000</v>
      </c>
    </row>
    <row r="28" spans="1:2" s="22" customFormat="1" hidden="1" outlineLevel="1" x14ac:dyDescent="0.25">
      <c r="A28" s="19"/>
      <c r="B28" s="6">
        <f>'PART 20-2'!$B$5</f>
        <v>19000</v>
      </c>
    </row>
    <row r="29" spans="1:2" s="22" customFormat="1" hidden="1" outlineLevel="1" x14ac:dyDescent="0.25">
      <c r="A29" s="19"/>
      <c r="B29" s="6">
        <f>'PART 20-3'!$B$5</f>
        <v>19000</v>
      </c>
    </row>
    <row r="30" spans="1:2" collapsed="1" x14ac:dyDescent="0.25">
      <c r="A30" s="19" t="s">
        <v>68</v>
      </c>
      <c r="B30" s="6">
        <f>SUM(B27:B29)</f>
        <v>57000</v>
      </c>
    </row>
    <row r="31" spans="1:2" s="22" customFormat="1" hidden="1" outlineLevel="1" x14ac:dyDescent="0.25">
      <c r="A31" s="19"/>
      <c r="B31" s="6">
        <f>'PART 20-1'!$B$6</f>
        <v>15000</v>
      </c>
    </row>
    <row r="32" spans="1:2" s="22" customFormat="1" hidden="1" outlineLevel="1" x14ac:dyDescent="0.25">
      <c r="A32" s="19"/>
      <c r="B32" s="6">
        <f>'PART 20-2'!$B$6</f>
        <v>15000</v>
      </c>
    </row>
    <row r="33" spans="1:2" s="22" customFormat="1" hidden="1" outlineLevel="1" x14ac:dyDescent="0.25">
      <c r="A33" s="19"/>
      <c r="B33" s="6">
        <f>'PART 20-3'!$B$6</f>
        <v>15000</v>
      </c>
    </row>
    <row r="34" spans="1:2" collapsed="1" x14ac:dyDescent="0.25">
      <c r="A34" s="19" t="s">
        <v>63</v>
      </c>
      <c r="B34" s="6">
        <f>SUM(B31:B33)</f>
        <v>45000</v>
      </c>
    </row>
    <row r="35" spans="1:2" s="22" customFormat="1" hidden="1" outlineLevel="1" x14ac:dyDescent="0.25">
      <c r="A35" s="19"/>
      <c r="B35" s="6">
        <f>'PART 20-1'!$B$7</f>
        <v>15000</v>
      </c>
    </row>
    <row r="36" spans="1:2" s="22" customFormat="1" hidden="1" outlineLevel="1" x14ac:dyDescent="0.25">
      <c r="A36" s="19"/>
      <c r="B36" s="6">
        <f>'PART 20-2'!$B$7</f>
        <v>15000</v>
      </c>
    </row>
    <row r="37" spans="1:2" s="22" customFormat="1" hidden="1" outlineLevel="1" x14ac:dyDescent="0.25">
      <c r="A37" s="19"/>
      <c r="B37" s="6">
        <f>'PART 20-3'!$B$7</f>
        <v>15000</v>
      </c>
    </row>
    <row r="38" spans="1:2" collapsed="1" x14ac:dyDescent="0.25">
      <c r="A38" s="19" t="s">
        <v>65</v>
      </c>
      <c r="B38" s="6">
        <f>SUM(B35:B37)</f>
        <v>45000</v>
      </c>
    </row>
    <row r="39" spans="1:2" s="22" customFormat="1" hidden="1" outlineLevel="1" x14ac:dyDescent="0.25">
      <c r="A39" s="19"/>
      <c r="B39" s="6">
        <f>'PART 20-1'!$B$8</f>
        <v>12000</v>
      </c>
    </row>
    <row r="40" spans="1:2" s="22" customFormat="1" hidden="1" outlineLevel="1" x14ac:dyDescent="0.25">
      <c r="A40" s="19"/>
      <c r="B40" s="6">
        <f>'PART 20-2'!$B$8</f>
        <v>12000</v>
      </c>
    </row>
    <row r="41" spans="1:2" s="22" customFormat="1" hidden="1" outlineLevel="1" x14ac:dyDescent="0.25">
      <c r="A41" s="19"/>
      <c r="B41" s="6">
        <f>'PART 20-3'!$B$8</f>
        <v>12000</v>
      </c>
    </row>
    <row r="42" spans="1:2" collapsed="1" x14ac:dyDescent="0.25">
      <c r="A42" s="19" t="s">
        <v>66</v>
      </c>
      <c r="B42" s="6">
        <f>SUM(B39:B41)</f>
        <v>36000</v>
      </c>
    </row>
    <row r="43" spans="1:2" s="22" customFormat="1" hidden="1" outlineLevel="1" x14ac:dyDescent="0.25">
      <c r="A43" s="19"/>
      <c r="B43" s="6">
        <f>'PART 20-1'!$B$9</f>
        <v>16000</v>
      </c>
    </row>
    <row r="44" spans="1:2" s="22" customFormat="1" hidden="1" outlineLevel="1" x14ac:dyDescent="0.25">
      <c r="A44" s="19"/>
      <c r="B44" s="6">
        <f>'PART 20-2'!$B$9</f>
        <v>16000</v>
      </c>
    </row>
    <row r="45" spans="1:2" s="22" customFormat="1" hidden="1" outlineLevel="1" x14ac:dyDescent="0.25">
      <c r="A45" s="19"/>
      <c r="B45" s="6">
        <f>'PART 20-3'!$B$9</f>
        <v>16000</v>
      </c>
    </row>
    <row r="46" spans="1:2" collapsed="1" x14ac:dyDescent="0.25">
      <c r="A46" s="19" t="s">
        <v>70</v>
      </c>
      <c r="B46" s="6">
        <f>SUM(B43:B45)</f>
        <v>48000</v>
      </c>
    </row>
    <row r="47" spans="1:2" s="22" customFormat="1" hidden="1" outlineLevel="1" x14ac:dyDescent="0.25">
      <c r="A47" s="19"/>
      <c r="B47" s="6">
        <f>'PART 20-1'!$B$10</f>
        <v>18000</v>
      </c>
    </row>
    <row r="48" spans="1:2" s="22" customFormat="1" hidden="1" outlineLevel="1" x14ac:dyDescent="0.25">
      <c r="A48" s="19"/>
      <c r="B48" s="6">
        <f>'PART 20-2'!$B$10</f>
        <v>18000</v>
      </c>
    </row>
    <row r="49" spans="1:2" s="22" customFormat="1" hidden="1" outlineLevel="1" x14ac:dyDescent="0.25">
      <c r="A49" s="19"/>
      <c r="B49" s="6">
        <f>'PART 20-3'!$B$10</f>
        <v>18000</v>
      </c>
    </row>
    <row r="50" spans="1:2" collapsed="1" x14ac:dyDescent="0.25">
      <c r="A50" s="19" t="s">
        <v>69</v>
      </c>
      <c r="B50" s="6">
        <f>SUM(B47:B49)</f>
        <v>54000</v>
      </c>
    </row>
  </sheetData>
  <dataConsolidate link="1">
    <dataRefs count="3">
      <dataRef ref="B2:B10" sheet="PART 20-1"/>
      <dataRef ref="B2:B10" sheet="PART 20-2"/>
      <dataRef ref="B2:B10" sheet="PART 20-3"/>
    </dataRefs>
  </dataConsolid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B10"/>
  <sheetViews>
    <sheetView zoomScale="205" zoomScaleNormal="205" workbookViewId="0">
      <selection activeCell="B3" sqref="B3"/>
    </sheetView>
  </sheetViews>
  <sheetFormatPr defaultRowHeight="15" x14ac:dyDescent="0.25"/>
  <cols>
    <col min="1" max="1" width="15.5703125" bestFit="1" customWidth="1"/>
    <col min="2" max="2" width="13.28515625" bestFit="1" customWidth="1"/>
  </cols>
  <sheetData>
    <row r="1" spans="1:2" x14ac:dyDescent="0.25">
      <c r="A1" s="6" t="s">
        <v>74</v>
      </c>
      <c r="B1" s="6" t="s">
        <v>196</v>
      </c>
    </row>
    <row r="2" spans="1:2" x14ac:dyDescent="0.25">
      <c r="A2" s="19" t="s">
        <v>71</v>
      </c>
      <c r="B2" s="6">
        <v>10000</v>
      </c>
    </row>
    <row r="3" spans="1:2" x14ac:dyDescent="0.25">
      <c r="A3" s="19" t="s">
        <v>61</v>
      </c>
      <c r="B3" s="6">
        <v>18000</v>
      </c>
    </row>
    <row r="4" spans="1:2" x14ac:dyDescent="0.25">
      <c r="A4" s="19" t="s">
        <v>62</v>
      </c>
      <c r="B4" s="6">
        <v>35000</v>
      </c>
    </row>
    <row r="5" spans="1:2" x14ac:dyDescent="0.25">
      <c r="A5" s="19" t="s">
        <v>68</v>
      </c>
      <c r="B5" s="6">
        <v>19000</v>
      </c>
    </row>
    <row r="6" spans="1:2" x14ac:dyDescent="0.25">
      <c r="A6" s="19" t="s">
        <v>63</v>
      </c>
      <c r="B6" s="6">
        <v>15000</v>
      </c>
    </row>
    <row r="7" spans="1:2" x14ac:dyDescent="0.25">
      <c r="A7" s="19" t="s">
        <v>65</v>
      </c>
      <c r="B7" s="6">
        <v>15000</v>
      </c>
    </row>
    <row r="8" spans="1:2" x14ac:dyDescent="0.25">
      <c r="A8" s="19" t="s">
        <v>66</v>
      </c>
      <c r="B8" s="6">
        <v>12000</v>
      </c>
    </row>
    <row r="9" spans="1:2" x14ac:dyDescent="0.25">
      <c r="A9" s="19" t="s">
        <v>70</v>
      </c>
      <c r="B9" s="6">
        <v>16000</v>
      </c>
    </row>
    <row r="10" spans="1:2" x14ac:dyDescent="0.25">
      <c r="A10" s="19" t="s">
        <v>69</v>
      </c>
      <c r="B10" s="6">
        <v>18000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B10"/>
  <sheetViews>
    <sheetView zoomScale="205" zoomScaleNormal="205" workbookViewId="0">
      <selection activeCell="B3" sqref="B3"/>
    </sheetView>
  </sheetViews>
  <sheetFormatPr defaultRowHeight="15" x14ac:dyDescent="0.25"/>
  <cols>
    <col min="1" max="1" width="15.5703125" style="22" bestFit="1" customWidth="1"/>
    <col min="2" max="2" width="13.28515625" style="22" bestFit="1" customWidth="1"/>
    <col min="3" max="16384" width="9.140625" style="22"/>
  </cols>
  <sheetData>
    <row r="1" spans="1:2" x14ac:dyDescent="0.25">
      <c r="A1" s="6" t="s">
        <v>74</v>
      </c>
      <c r="B1" s="6" t="s">
        <v>196</v>
      </c>
    </row>
    <row r="2" spans="1:2" x14ac:dyDescent="0.25">
      <c r="A2" s="19" t="s">
        <v>71</v>
      </c>
      <c r="B2" s="6">
        <v>19000</v>
      </c>
    </row>
    <row r="3" spans="1:2" x14ac:dyDescent="0.25">
      <c r="A3" s="19" t="s">
        <v>61</v>
      </c>
      <c r="B3" s="6">
        <v>18000</v>
      </c>
    </row>
    <row r="4" spans="1:2" x14ac:dyDescent="0.25">
      <c r="A4" s="19" t="s">
        <v>62</v>
      </c>
      <c r="B4" s="6">
        <v>35000</v>
      </c>
    </row>
    <row r="5" spans="1:2" x14ac:dyDescent="0.25">
      <c r="A5" s="19" t="s">
        <v>68</v>
      </c>
      <c r="B5" s="6">
        <v>19000</v>
      </c>
    </row>
    <row r="6" spans="1:2" x14ac:dyDescent="0.25">
      <c r="A6" s="19" t="s">
        <v>63</v>
      </c>
      <c r="B6" s="6">
        <v>15000</v>
      </c>
    </row>
    <row r="7" spans="1:2" x14ac:dyDescent="0.25">
      <c r="A7" s="19" t="s">
        <v>65</v>
      </c>
      <c r="B7" s="6">
        <v>15000</v>
      </c>
    </row>
    <row r="8" spans="1:2" x14ac:dyDescent="0.25">
      <c r="A8" s="19" t="s">
        <v>66</v>
      </c>
      <c r="B8" s="6">
        <v>12000</v>
      </c>
    </row>
    <row r="9" spans="1:2" x14ac:dyDescent="0.25">
      <c r="A9" s="19" t="s">
        <v>70</v>
      </c>
      <c r="B9" s="6">
        <v>16000</v>
      </c>
    </row>
    <row r="10" spans="1:2" x14ac:dyDescent="0.25">
      <c r="A10" s="19" t="s">
        <v>69</v>
      </c>
      <c r="B10" s="6">
        <v>18000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B10"/>
  <sheetViews>
    <sheetView zoomScale="205" zoomScaleNormal="205" workbookViewId="0">
      <selection activeCell="B6" sqref="A1:B10"/>
    </sheetView>
  </sheetViews>
  <sheetFormatPr defaultRowHeight="15" x14ac:dyDescent="0.25"/>
  <cols>
    <col min="1" max="1" width="15.5703125" style="22" bestFit="1" customWidth="1"/>
    <col min="2" max="2" width="13.28515625" style="22" bestFit="1" customWidth="1"/>
    <col min="3" max="16384" width="9.140625" style="22"/>
  </cols>
  <sheetData>
    <row r="1" spans="1:2" x14ac:dyDescent="0.25">
      <c r="A1" s="6" t="s">
        <v>74</v>
      </c>
      <c r="B1" s="6" t="s">
        <v>196</v>
      </c>
    </row>
    <row r="2" spans="1:2" x14ac:dyDescent="0.25">
      <c r="A2" s="19" t="s">
        <v>71</v>
      </c>
      <c r="B2" s="6">
        <v>23000</v>
      </c>
    </row>
    <row r="3" spans="1:2" x14ac:dyDescent="0.25">
      <c r="A3" s="19" t="s">
        <v>61</v>
      </c>
      <c r="B3" s="6">
        <v>18000</v>
      </c>
    </row>
    <row r="4" spans="1:2" x14ac:dyDescent="0.25">
      <c r="A4" s="19" t="s">
        <v>62</v>
      </c>
      <c r="B4" s="6">
        <v>35000</v>
      </c>
    </row>
    <row r="5" spans="1:2" x14ac:dyDescent="0.25">
      <c r="A5" s="19" t="s">
        <v>68</v>
      </c>
      <c r="B5" s="6">
        <v>19000</v>
      </c>
    </row>
    <row r="6" spans="1:2" x14ac:dyDescent="0.25">
      <c r="A6" s="19" t="s">
        <v>63</v>
      </c>
      <c r="B6" s="6">
        <v>15000</v>
      </c>
    </row>
    <row r="7" spans="1:2" x14ac:dyDescent="0.25">
      <c r="A7" s="19" t="s">
        <v>65</v>
      </c>
      <c r="B7" s="6">
        <v>15000</v>
      </c>
    </row>
    <row r="8" spans="1:2" x14ac:dyDescent="0.25">
      <c r="A8" s="19" t="s">
        <v>66</v>
      </c>
      <c r="B8" s="6">
        <v>12000</v>
      </c>
    </row>
    <row r="9" spans="1:2" x14ac:dyDescent="0.25">
      <c r="A9" s="19" t="s">
        <v>70</v>
      </c>
      <c r="B9" s="6">
        <v>16000</v>
      </c>
    </row>
    <row r="10" spans="1:2" x14ac:dyDescent="0.25">
      <c r="A10" s="19" t="s">
        <v>69</v>
      </c>
      <c r="B10" s="6">
        <v>18000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2:A5"/>
  <sheetViews>
    <sheetView zoomScale="205" zoomScaleNormal="205" workbookViewId="0">
      <selection activeCell="A2" sqref="A2:A5"/>
    </sheetView>
  </sheetViews>
  <sheetFormatPr defaultRowHeight="15" x14ac:dyDescent="0.25"/>
  <cols>
    <col min="1" max="1" width="29.42578125" bestFit="1" customWidth="1"/>
  </cols>
  <sheetData>
    <row r="2" spans="1:1" x14ac:dyDescent="0.25">
      <c r="A2" t="s">
        <v>199</v>
      </c>
    </row>
    <row r="4" spans="1:1" x14ac:dyDescent="0.25">
      <c r="A4" t="s">
        <v>197</v>
      </c>
    </row>
    <row r="5" spans="1:1" x14ac:dyDescent="0.25">
      <c r="A5" t="s">
        <v>198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4"/>
  <sheetViews>
    <sheetView zoomScale="175" zoomScaleNormal="175" workbookViewId="0">
      <selection activeCell="A6" sqref="A6"/>
    </sheetView>
  </sheetViews>
  <sheetFormatPr defaultRowHeight="15" x14ac:dyDescent="0.25"/>
  <cols>
    <col min="1" max="1" width="33.42578125" bestFit="1" customWidth="1"/>
  </cols>
  <sheetData>
    <row r="1" spans="1:1" x14ac:dyDescent="0.25">
      <c r="A1" s="22" t="s">
        <v>200</v>
      </c>
    </row>
    <row r="2" spans="1:1" x14ac:dyDescent="0.25">
      <c r="A2" s="22"/>
    </row>
    <row r="3" spans="1:1" x14ac:dyDescent="0.25">
      <c r="A3" s="22" t="s">
        <v>197</v>
      </c>
    </row>
    <row r="4" spans="1:1" x14ac:dyDescent="0.25">
      <c r="A4" s="22" t="s">
        <v>198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outlinePr summaryBelow="0"/>
  </sheetPr>
  <dimension ref="B1:G14"/>
  <sheetViews>
    <sheetView showGridLines="0" workbookViewId="0">
      <selection activeCell="C8" sqref="C8:G8"/>
    </sheetView>
  </sheetViews>
  <sheetFormatPr defaultRowHeight="15" outlineLevelRow="1" outlineLevelCol="1" x14ac:dyDescent="0.25"/>
  <cols>
    <col min="3" max="3" width="11.85546875" bestFit="1" customWidth="1"/>
    <col min="4" max="7" width="16.42578125" bestFit="1" customWidth="1" outlineLevel="1"/>
  </cols>
  <sheetData>
    <row r="1" spans="2:7" ht="15.75" thickBot="1" x14ac:dyDescent="0.3"/>
    <row r="2" spans="2:7" ht="15.75" x14ac:dyDescent="0.25">
      <c r="B2" s="39" t="s">
        <v>221</v>
      </c>
      <c r="C2" s="39"/>
      <c r="D2" s="32"/>
      <c r="E2" s="32"/>
      <c r="F2" s="32"/>
      <c r="G2" s="32"/>
    </row>
    <row r="3" spans="2:7" ht="15.75" collapsed="1" x14ac:dyDescent="0.25">
      <c r="B3" s="38"/>
      <c r="C3" s="38"/>
      <c r="D3" s="33" t="s">
        <v>223</v>
      </c>
      <c r="E3" s="33" t="s">
        <v>217</v>
      </c>
      <c r="F3" s="33" t="s">
        <v>219</v>
      </c>
      <c r="G3" s="33" t="s">
        <v>220</v>
      </c>
    </row>
    <row r="4" spans="2:7" ht="22.5" hidden="1" outlineLevel="1" x14ac:dyDescent="0.25">
      <c r="B4" s="40"/>
      <c r="C4" s="40"/>
      <c r="D4" s="30"/>
      <c r="E4" s="36" t="s">
        <v>218</v>
      </c>
      <c r="F4" s="36" t="s">
        <v>218</v>
      </c>
      <c r="G4" s="36" t="s">
        <v>218</v>
      </c>
    </row>
    <row r="5" spans="2:7" x14ac:dyDescent="0.25">
      <c r="B5" s="41" t="s">
        <v>222</v>
      </c>
      <c r="C5" s="41"/>
      <c r="D5" s="31"/>
      <c r="E5" s="31"/>
      <c r="F5" s="31"/>
      <c r="G5" s="31"/>
    </row>
    <row r="6" spans="2:7" outlineLevel="1" x14ac:dyDescent="0.25">
      <c r="B6" s="40"/>
      <c r="C6" s="28" t="s">
        <v>203</v>
      </c>
      <c r="D6" s="30">
        <v>210</v>
      </c>
      <c r="E6" s="35">
        <v>230</v>
      </c>
      <c r="F6" s="35">
        <v>330</v>
      </c>
      <c r="G6" s="35">
        <v>210</v>
      </c>
    </row>
    <row r="7" spans="2:7" outlineLevel="1" x14ac:dyDescent="0.25">
      <c r="B7" s="40"/>
      <c r="C7" s="28" t="s">
        <v>204</v>
      </c>
      <c r="D7" s="30">
        <v>600</v>
      </c>
      <c r="E7" s="35">
        <v>500</v>
      </c>
      <c r="F7" s="35">
        <v>550</v>
      </c>
      <c r="G7" s="35">
        <v>600</v>
      </c>
    </row>
    <row r="8" spans="2:7" outlineLevel="1" x14ac:dyDescent="0.25">
      <c r="B8" s="40"/>
      <c r="C8" s="28" t="s">
        <v>205</v>
      </c>
      <c r="D8" s="30">
        <v>220</v>
      </c>
      <c r="E8" s="35">
        <v>250</v>
      </c>
      <c r="F8" s="35">
        <v>150</v>
      </c>
      <c r="G8" s="35">
        <v>220</v>
      </c>
    </row>
    <row r="9" spans="2:7" outlineLevel="1" x14ac:dyDescent="0.25">
      <c r="B9" s="40"/>
      <c r="C9" s="28" t="s">
        <v>206</v>
      </c>
      <c r="D9" s="30">
        <v>400</v>
      </c>
      <c r="E9" s="35">
        <v>300</v>
      </c>
      <c r="F9" s="35">
        <v>290</v>
      </c>
      <c r="G9" s="35">
        <v>400</v>
      </c>
    </row>
    <row r="10" spans="2:7" outlineLevel="1" x14ac:dyDescent="0.25">
      <c r="B10" s="40"/>
      <c r="C10" s="28" t="s">
        <v>207</v>
      </c>
      <c r="D10" s="30">
        <v>250</v>
      </c>
      <c r="E10" s="35">
        <v>150</v>
      </c>
      <c r="F10" s="35">
        <v>180</v>
      </c>
      <c r="G10" s="35">
        <v>250</v>
      </c>
    </row>
    <row r="11" spans="2:7" ht="15.75" thickBot="1" x14ac:dyDescent="0.3">
      <c r="B11" s="42"/>
      <c r="C11" s="42"/>
      <c r="D11" s="34"/>
      <c r="E11" s="34"/>
      <c r="F11" s="34"/>
      <c r="G11" s="34"/>
    </row>
    <row r="12" spans="2:7" x14ac:dyDescent="0.25">
      <c r="B12" t="s">
        <v>224</v>
      </c>
    </row>
    <row r="13" spans="2:7" x14ac:dyDescent="0.25">
      <c r="B13" t="s">
        <v>225</v>
      </c>
    </row>
    <row r="14" spans="2:7" x14ac:dyDescent="0.25">
      <c r="B14" t="s">
        <v>226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C6"/>
  <sheetViews>
    <sheetView zoomScale="250" zoomScaleNormal="250" workbookViewId="0">
      <selection activeCell="B2" sqref="B2:B6"/>
    </sheetView>
  </sheetViews>
  <sheetFormatPr defaultRowHeight="15" x14ac:dyDescent="0.25"/>
  <cols>
    <col min="1" max="1" width="9.140625" style="22"/>
    <col min="2" max="2" width="12.85546875" customWidth="1"/>
  </cols>
  <sheetData>
    <row r="1" spans="1:3" x14ac:dyDescent="0.25">
      <c r="A1" s="28" t="s">
        <v>208</v>
      </c>
      <c r="B1" s="28" t="s">
        <v>201</v>
      </c>
      <c r="C1" s="28" t="s">
        <v>202</v>
      </c>
    </row>
    <row r="2" spans="1:3" x14ac:dyDescent="0.25">
      <c r="A2" s="28">
        <v>1</v>
      </c>
      <c r="B2" s="28" t="s">
        <v>203</v>
      </c>
      <c r="C2" s="28">
        <v>210</v>
      </c>
    </row>
    <row r="3" spans="1:3" x14ac:dyDescent="0.25">
      <c r="A3" s="28">
        <v>2</v>
      </c>
      <c r="B3" s="28" t="s">
        <v>204</v>
      </c>
      <c r="C3" s="28">
        <v>600</v>
      </c>
    </row>
    <row r="4" spans="1:3" x14ac:dyDescent="0.25">
      <c r="A4" s="28">
        <v>3</v>
      </c>
      <c r="B4" s="28" t="s">
        <v>205</v>
      </c>
      <c r="C4" s="28">
        <v>220</v>
      </c>
    </row>
    <row r="5" spans="1:3" x14ac:dyDescent="0.25">
      <c r="A5" s="28">
        <v>4</v>
      </c>
      <c r="B5" s="28" t="s">
        <v>206</v>
      </c>
      <c r="C5" s="28">
        <v>400</v>
      </c>
    </row>
    <row r="6" spans="1:3" x14ac:dyDescent="0.25">
      <c r="A6" s="28">
        <v>5</v>
      </c>
      <c r="B6" s="28" t="s">
        <v>207</v>
      </c>
      <c r="C6" s="28">
        <v>250</v>
      </c>
    </row>
  </sheetData>
  <scenarios current="0" show="2">
    <scenario name="REGULAR PRICES" locked="1" count="5" user="RAM" comment="Created by RAM on 4/12/2020">
      <inputCells r="C2" val="230"/>
      <inputCells r="C3" val="500"/>
      <inputCells r="C4" val="250"/>
      <inputCells r="C5" val="300"/>
      <inputCells r="C6" val="150"/>
    </scenario>
    <scenario name="RAKSHA BANDHAN" locked="1" count="5" user="RAM" comment="Created by RAM on 4/12/2020">
      <inputCells r="C2" val="330"/>
      <inputCells r="C3" val="550"/>
      <inputCells r="C4" val="150"/>
      <inputCells r="C5" val="290"/>
      <inputCells r="C6" val="180"/>
    </scenario>
    <scenario name="SUMMER VACATION" locked="1" count="5" user="RAM" comment="Created by RAM on 4/12/2020">
      <inputCells r="C2" val="210"/>
      <inputCells r="C3" val="600"/>
      <inputCells r="C4" val="220"/>
      <inputCells r="C5" val="400"/>
      <inputCells r="C6" val="250"/>
    </scenario>
  </scenario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G6"/>
  <sheetViews>
    <sheetView zoomScale="205" zoomScaleNormal="205" workbookViewId="0">
      <selection activeCell="B5" sqref="B5"/>
    </sheetView>
  </sheetViews>
  <sheetFormatPr defaultRowHeight="15" x14ac:dyDescent="0.25"/>
  <cols>
    <col min="1" max="1" width="14.140625" style="22" bestFit="1" customWidth="1"/>
    <col min="2" max="2" width="13.7109375" style="22" customWidth="1"/>
    <col min="3" max="3" width="10.5703125" style="22" bestFit="1" customWidth="1"/>
    <col min="4" max="4" width="9.140625" style="22"/>
    <col min="5" max="5" width="10.42578125" style="22" bestFit="1" customWidth="1"/>
    <col min="6" max="16384" width="9.140625" style="22"/>
  </cols>
  <sheetData>
    <row r="1" spans="1:7" x14ac:dyDescent="0.25">
      <c r="A1" s="22" t="s">
        <v>215</v>
      </c>
      <c r="B1" s="23">
        <v>0.1</v>
      </c>
      <c r="C1" s="27" t="s">
        <v>214</v>
      </c>
    </row>
    <row r="2" spans="1:7" x14ac:dyDescent="0.25">
      <c r="A2" s="22" t="s">
        <v>213</v>
      </c>
      <c r="B2" s="22">
        <v>376522.95219001616</v>
      </c>
      <c r="C2" s="27" t="s">
        <v>212</v>
      </c>
      <c r="E2" s="26"/>
    </row>
    <row r="3" spans="1:7" x14ac:dyDescent="0.25">
      <c r="A3" s="22" t="s">
        <v>211</v>
      </c>
      <c r="B3" s="22">
        <v>60</v>
      </c>
      <c r="C3" s="27" t="s">
        <v>210</v>
      </c>
      <c r="E3" s="25"/>
    </row>
    <row r="5" spans="1:7" x14ac:dyDescent="0.25">
      <c r="A5" s="22" t="s">
        <v>209</v>
      </c>
      <c r="B5" s="24">
        <f>PMT(B1/12,B3,-B2)</f>
        <v>8000.0000000000009</v>
      </c>
      <c r="E5" s="22" t="s">
        <v>46</v>
      </c>
      <c r="F5" s="22" t="s">
        <v>196</v>
      </c>
      <c r="G5" s="22" t="s">
        <v>102</v>
      </c>
    </row>
    <row r="6" spans="1:7" x14ac:dyDescent="0.25">
      <c r="E6" s="22">
        <v>25</v>
      </c>
      <c r="F6" s="22">
        <v>600</v>
      </c>
      <c r="G6" s="22">
        <f>E6*F6</f>
        <v>15000</v>
      </c>
    </row>
  </sheetData>
  <dataConsolidate/>
  <pageMargins left="0.7" right="0.7" top="0.75" bottom="0.75" header="0.3" footer="0.3"/>
  <pageSetup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C1:N15"/>
  <sheetViews>
    <sheetView zoomScale="160" zoomScaleNormal="160" workbookViewId="0">
      <selection activeCell="D5" sqref="D5"/>
    </sheetView>
  </sheetViews>
  <sheetFormatPr defaultRowHeight="15" x14ac:dyDescent="0.25"/>
  <cols>
    <col min="1" max="2" width="9.140625" style="22"/>
    <col min="3" max="3" width="14.28515625" style="22" bestFit="1" customWidth="1"/>
    <col min="4" max="4" width="13.5703125" style="22" bestFit="1" customWidth="1"/>
    <col min="5" max="16384" width="9.140625" style="22"/>
  </cols>
  <sheetData>
    <row r="1" spans="3:14" x14ac:dyDescent="0.25">
      <c r="C1" s="28" t="s">
        <v>215</v>
      </c>
      <c r="D1" s="44">
        <v>0.1</v>
      </c>
      <c r="E1" s="28" t="s">
        <v>214</v>
      </c>
      <c r="F1" s="28"/>
      <c r="G1" s="28"/>
      <c r="H1" s="28"/>
      <c r="I1" s="28"/>
      <c r="J1" s="28"/>
      <c r="K1" s="28"/>
      <c r="L1" s="28"/>
      <c r="M1" s="28"/>
      <c r="N1" s="28"/>
    </row>
    <row r="2" spans="3:14" x14ac:dyDescent="0.25">
      <c r="C2" s="28" t="s">
        <v>213</v>
      </c>
      <c r="D2" s="28">
        <v>500000</v>
      </c>
      <c r="E2" s="28" t="s">
        <v>212</v>
      </c>
      <c r="F2" s="28"/>
      <c r="G2" s="28"/>
      <c r="H2" s="28"/>
      <c r="I2" s="28"/>
      <c r="J2" s="28"/>
      <c r="K2" s="28"/>
      <c r="L2" s="28"/>
      <c r="M2" s="28"/>
      <c r="N2" s="28"/>
    </row>
    <row r="3" spans="3:14" x14ac:dyDescent="0.25">
      <c r="C3" s="28" t="s">
        <v>211</v>
      </c>
      <c r="D3" s="28">
        <v>60</v>
      </c>
      <c r="E3" s="28" t="s">
        <v>210</v>
      </c>
      <c r="F3" s="28"/>
      <c r="G3" s="28"/>
      <c r="H3" s="28"/>
      <c r="I3" s="28"/>
      <c r="J3" s="28"/>
      <c r="K3" s="28"/>
      <c r="L3" s="28"/>
      <c r="M3" s="28"/>
      <c r="N3" s="28"/>
    </row>
    <row r="4" spans="3:14" x14ac:dyDescent="0.25">
      <c r="C4" s="28"/>
      <c r="D4" s="28"/>
      <c r="E4" s="43" t="s">
        <v>227</v>
      </c>
      <c r="F4" s="43" t="s">
        <v>228</v>
      </c>
      <c r="G4" s="43" t="s">
        <v>229</v>
      </c>
      <c r="H4" s="43" t="s">
        <v>230</v>
      </c>
      <c r="I4" s="43" t="s">
        <v>231</v>
      </c>
      <c r="J4" s="43" t="s">
        <v>232</v>
      </c>
      <c r="K4" s="43" t="s">
        <v>233</v>
      </c>
      <c r="L4" s="43" t="s">
        <v>234</v>
      </c>
      <c r="M4" s="43" t="s">
        <v>235</v>
      </c>
      <c r="N4" s="43" t="s">
        <v>236</v>
      </c>
    </row>
    <row r="5" spans="3:14" x14ac:dyDescent="0.25">
      <c r="C5" s="28" t="s">
        <v>216</v>
      </c>
      <c r="D5" s="45">
        <f>PMT(D1/12,D3,-D2)</f>
        <v>10623.522355634139</v>
      </c>
      <c r="E5" s="28">
        <v>12</v>
      </c>
      <c r="F5" s="28">
        <v>24</v>
      </c>
      <c r="G5" s="28">
        <v>36</v>
      </c>
      <c r="H5" s="28">
        <v>48</v>
      </c>
      <c r="I5" s="28">
        <v>60</v>
      </c>
      <c r="J5" s="28">
        <v>72</v>
      </c>
      <c r="K5" s="28">
        <v>84</v>
      </c>
      <c r="L5" s="28">
        <v>96</v>
      </c>
      <c r="M5" s="28">
        <v>108</v>
      </c>
      <c r="N5" s="28">
        <v>120</v>
      </c>
    </row>
    <row r="6" spans="3:14" x14ac:dyDescent="0.25">
      <c r="C6" s="28"/>
      <c r="D6" s="28">
        <v>100000</v>
      </c>
      <c r="E6" s="28">
        <f t="dataTable" ref="E6:N15" dt2D="1" dtr="1" r1="D3" r2="D2"/>
        <v>8791.5887230009594</v>
      </c>
      <c r="F6" s="28">
        <v>4614.4926337516508</v>
      </c>
      <c r="G6" s="28">
        <v>3226.7187193837485</v>
      </c>
      <c r="H6" s="28">
        <v>2536.2583434747189</v>
      </c>
      <c r="I6" s="28">
        <v>2124.7044711268277</v>
      </c>
      <c r="J6" s="28">
        <v>1852.5837775770478</v>
      </c>
      <c r="K6" s="28">
        <v>1660.1184026885908</v>
      </c>
      <c r="L6" s="28">
        <v>1517.416409780433</v>
      </c>
      <c r="M6" s="28">
        <v>1407.8686217371223</v>
      </c>
      <c r="N6" s="28">
        <v>1321.5073688176165</v>
      </c>
    </row>
    <row r="7" spans="3:14" x14ac:dyDescent="0.25">
      <c r="C7" s="28"/>
      <c r="D7" s="28">
        <v>200000</v>
      </c>
      <c r="E7" s="28">
        <v>17583.177446001919</v>
      </c>
      <c r="F7" s="28">
        <v>9228.9852675033017</v>
      </c>
      <c r="G7" s="28">
        <v>6453.437438767497</v>
      </c>
      <c r="H7" s="28">
        <v>5072.5166869494378</v>
      </c>
      <c r="I7" s="28">
        <v>4249.4089422536554</v>
      </c>
      <c r="J7" s="28">
        <v>3705.1675551540957</v>
      </c>
      <c r="K7" s="28">
        <v>3320.2368053771816</v>
      </c>
      <c r="L7" s="28">
        <v>3034.832819560866</v>
      </c>
      <c r="M7" s="28">
        <v>2815.7372434742447</v>
      </c>
      <c r="N7" s="28">
        <v>2643.0147376352329</v>
      </c>
    </row>
    <row r="8" spans="3:14" x14ac:dyDescent="0.25">
      <c r="C8" s="28"/>
      <c r="D8" s="28">
        <v>300000</v>
      </c>
      <c r="E8" s="28">
        <v>26374.766169002876</v>
      </c>
      <c r="F8" s="28">
        <v>13843.477901254952</v>
      </c>
      <c r="G8" s="28">
        <v>9680.1561581512451</v>
      </c>
      <c r="H8" s="28">
        <v>7608.7750304241563</v>
      </c>
      <c r="I8" s="28">
        <v>6374.1134133804835</v>
      </c>
      <c r="J8" s="28">
        <v>5557.7513327311435</v>
      </c>
      <c r="K8" s="28">
        <v>4980.3552080657719</v>
      </c>
      <c r="L8" s="28">
        <v>4552.2492293412988</v>
      </c>
      <c r="M8" s="28">
        <v>4223.6058652113679</v>
      </c>
      <c r="N8" s="28">
        <v>3964.52210645285</v>
      </c>
    </row>
    <row r="9" spans="3:14" x14ac:dyDescent="0.25">
      <c r="C9" s="28"/>
      <c r="D9" s="28">
        <v>400000</v>
      </c>
      <c r="E9" s="28">
        <v>35166.354892003837</v>
      </c>
      <c r="F9" s="28">
        <v>18457.970535006603</v>
      </c>
      <c r="G9" s="28">
        <v>12906.874877534994</v>
      </c>
      <c r="H9" s="28">
        <v>10145.033373898876</v>
      </c>
      <c r="I9" s="28">
        <v>8498.8178845073107</v>
      </c>
      <c r="J9" s="28">
        <v>7410.3351103081914</v>
      </c>
      <c r="K9" s="28">
        <v>6640.4736107543631</v>
      </c>
      <c r="L9" s="28">
        <v>6069.6656391217321</v>
      </c>
      <c r="M9" s="28">
        <v>5631.4744869484894</v>
      </c>
      <c r="N9" s="28">
        <v>5286.0294752704658</v>
      </c>
    </row>
    <row r="10" spans="3:14" x14ac:dyDescent="0.25">
      <c r="C10" s="28"/>
      <c r="D10" s="28">
        <v>500000</v>
      </c>
      <c r="E10" s="28">
        <v>43957.943615004799</v>
      </c>
      <c r="F10" s="28">
        <v>23072.463168758251</v>
      </c>
      <c r="G10" s="28">
        <v>16133.593596918743</v>
      </c>
      <c r="H10" s="28">
        <v>12681.291717373595</v>
      </c>
      <c r="I10" s="46">
        <v>10623.522355634139</v>
      </c>
      <c r="J10" s="28">
        <v>9262.9188878852383</v>
      </c>
      <c r="K10" s="28">
        <v>8300.5920134429543</v>
      </c>
      <c r="L10" s="28">
        <v>7587.0820489021653</v>
      </c>
      <c r="M10" s="28">
        <v>7039.3431086856126</v>
      </c>
      <c r="N10" s="28">
        <v>6607.5368440880829</v>
      </c>
    </row>
    <row r="11" spans="3:14" x14ac:dyDescent="0.25">
      <c r="C11" s="28"/>
      <c r="D11" s="28">
        <v>600000</v>
      </c>
      <c r="E11" s="28">
        <v>52749.532338005753</v>
      </c>
      <c r="F11" s="28">
        <v>27686.955802509903</v>
      </c>
      <c r="G11" s="28">
        <v>19360.31231630249</v>
      </c>
      <c r="H11" s="28">
        <v>15217.550060848313</v>
      </c>
      <c r="I11" s="28">
        <v>12748.226826760967</v>
      </c>
      <c r="J11" s="28">
        <v>11115.502665462287</v>
      </c>
      <c r="K11" s="28">
        <v>9960.7104161315438</v>
      </c>
      <c r="L11" s="28">
        <v>9104.4984586825976</v>
      </c>
      <c r="M11" s="28">
        <v>8447.2117304227359</v>
      </c>
      <c r="N11" s="28">
        <v>7929.0442129057001</v>
      </c>
    </row>
    <row r="12" spans="3:14" x14ac:dyDescent="0.25">
      <c r="C12" s="28"/>
      <c r="D12" s="28">
        <v>700000</v>
      </c>
      <c r="E12" s="28">
        <v>61541.121061006714</v>
      </c>
      <c r="F12" s="28">
        <v>32301.448436261555</v>
      </c>
      <c r="G12" s="28">
        <v>22587.031035686239</v>
      </c>
      <c r="H12" s="28">
        <v>17753.80840432303</v>
      </c>
      <c r="I12" s="28">
        <v>14872.931297887793</v>
      </c>
      <c r="J12" s="28">
        <v>12968.086443039334</v>
      </c>
      <c r="K12" s="28">
        <v>11620.828818820135</v>
      </c>
      <c r="L12" s="28">
        <v>10621.914868463033</v>
      </c>
      <c r="M12" s="28">
        <v>9855.0803521598573</v>
      </c>
      <c r="N12" s="28">
        <v>9250.5515817233172</v>
      </c>
    </row>
    <row r="13" spans="3:14" x14ac:dyDescent="0.25">
      <c r="C13" s="28"/>
      <c r="D13" s="28">
        <v>800000</v>
      </c>
      <c r="E13" s="28">
        <v>70332.709784007675</v>
      </c>
      <c r="F13" s="28">
        <v>36915.941070013207</v>
      </c>
      <c r="G13" s="28">
        <v>25813.749755069988</v>
      </c>
      <c r="H13" s="28">
        <v>20290.066747797751</v>
      </c>
      <c r="I13" s="28">
        <v>16997.635769014621</v>
      </c>
      <c r="J13" s="28">
        <v>14820.670220616383</v>
      </c>
      <c r="K13" s="28">
        <v>13280.947221508726</v>
      </c>
      <c r="L13" s="28">
        <v>12139.331278243464</v>
      </c>
      <c r="M13" s="28">
        <v>11262.948973896979</v>
      </c>
      <c r="N13" s="28">
        <v>10572.058950540932</v>
      </c>
    </row>
    <row r="14" spans="3:14" x14ac:dyDescent="0.25">
      <c r="C14" s="28"/>
      <c r="D14" s="28">
        <v>900000</v>
      </c>
      <c r="E14" s="28">
        <v>79124.298507008643</v>
      </c>
      <c r="F14" s="28">
        <v>41530.433703764851</v>
      </c>
      <c r="G14" s="28">
        <v>29040.468474453737</v>
      </c>
      <c r="H14" s="28">
        <v>22826.325091272469</v>
      </c>
      <c r="I14" s="28">
        <v>19122.340240141446</v>
      </c>
      <c r="J14" s="28">
        <v>16673.253998193431</v>
      </c>
      <c r="K14" s="28">
        <v>14941.065624197316</v>
      </c>
      <c r="L14" s="28">
        <v>13656.747688023899</v>
      </c>
      <c r="M14" s="28">
        <v>12670.817595634104</v>
      </c>
      <c r="N14" s="28">
        <v>11893.566319358548</v>
      </c>
    </row>
    <row r="15" spans="3:14" x14ac:dyDescent="0.25">
      <c r="C15" s="28"/>
      <c r="D15" s="28">
        <v>1000000</v>
      </c>
      <c r="E15" s="28">
        <v>87915.887230009597</v>
      </c>
      <c r="F15" s="28">
        <v>46144.926337516503</v>
      </c>
      <c r="G15" s="28">
        <v>32267.187193837486</v>
      </c>
      <c r="H15" s="28">
        <v>25362.58343474719</v>
      </c>
      <c r="I15" s="28">
        <v>21247.044711268278</v>
      </c>
      <c r="J15" s="28">
        <v>18525.837775770477</v>
      </c>
      <c r="K15" s="28">
        <v>16601.184026885909</v>
      </c>
      <c r="L15" s="28">
        <v>15174.164097804331</v>
      </c>
      <c r="M15" s="28">
        <v>14078.686217371225</v>
      </c>
      <c r="N15" s="28">
        <v>13215.073688176166</v>
      </c>
    </row>
  </sheetData>
  <pageMargins left="0.7" right="0.7" top="0.75" bottom="0.75" header="0.3" footer="0.3"/>
  <pageSetup orientation="portrait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0"/>
  <sheetViews>
    <sheetView zoomScale="205" zoomScaleNormal="205" workbookViewId="0">
      <selection activeCell="A2" sqref="A2:A10"/>
    </sheetView>
  </sheetViews>
  <sheetFormatPr defaultRowHeight="15" x14ac:dyDescent="0.25"/>
  <cols>
    <col min="1" max="1" width="18.28515625" style="51" customWidth="1"/>
    <col min="2" max="2" width="16" style="53" customWidth="1"/>
    <col min="3" max="6" width="9.140625" style="51"/>
    <col min="7" max="16384" width="9.140625" style="47"/>
  </cols>
  <sheetData>
    <row r="1" spans="1:6" ht="18.75" x14ac:dyDescent="0.3">
      <c r="A1" s="48" t="s">
        <v>16</v>
      </c>
      <c r="B1" s="48" t="s">
        <v>196</v>
      </c>
      <c r="C1" s="48"/>
      <c r="D1" s="48" t="s">
        <v>196</v>
      </c>
      <c r="E1" s="48"/>
      <c r="F1" s="48" t="s">
        <v>196</v>
      </c>
    </row>
    <row r="2" spans="1:6" x14ac:dyDescent="0.25">
      <c r="A2" s="49" t="s">
        <v>71</v>
      </c>
      <c r="B2" s="52">
        <v>23000</v>
      </c>
      <c r="D2" s="50">
        <v>23000</v>
      </c>
      <c r="F2" s="50">
        <v>23000</v>
      </c>
    </row>
    <row r="3" spans="1:6" x14ac:dyDescent="0.25">
      <c r="A3" s="49" t="s">
        <v>61</v>
      </c>
      <c r="B3" s="52">
        <v>18000</v>
      </c>
      <c r="D3" s="50">
        <v>18000</v>
      </c>
      <c r="F3" s="50">
        <v>18000</v>
      </c>
    </row>
    <row r="4" spans="1:6" x14ac:dyDescent="0.25">
      <c r="A4" s="49" t="s">
        <v>62</v>
      </c>
      <c r="B4" s="52">
        <v>35000</v>
      </c>
      <c r="D4" s="50">
        <v>35000</v>
      </c>
      <c r="F4" s="50">
        <v>35000</v>
      </c>
    </row>
    <row r="5" spans="1:6" x14ac:dyDescent="0.25">
      <c r="A5" s="49" t="s">
        <v>68</v>
      </c>
      <c r="B5" s="52">
        <v>19000</v>
      </c>
      <c r="D5" s="50">
        <v>19000</v>
      </c>
      <c r="F5" s="50">
        <v>19000</v>
      </c>
    </row>
    <row r="6" spans="1:6" x14ac:dyDescent="0.25">
      <c r="A6" s="49" t="s">
        <v>63</v>
      </c>
      <c r="B6" s="52">
        <v>15000</v>
      </c>
      <c r="D6" s="50">
        <v>15000</v>
      </c>
      <c r="F6" s="50">
        <v>15000</v>
      </c>
    </row>
    <row r="7" spans="1:6" x14ac:dyDescent="0.25">
      <c r="A7" s="49" t="s">
        <v>65</v>
      </c>
      <c r="B7" s="52">
        <v>15000</v>
      </c>
      <c r="D7" s="50">
        <v>15000</v>
      </c>
      <c r="F7" s="50">
        <v>15000</v>
      </c>
    </row>
    <row r="8" spans="1:6" x14ac:dyDescent="0.25">
      <c r="A8" s="49" t="s">
        <v>66</v>
      </c>
      <c r="B8" s="52">
        <v>12000</v>
      </c>
      <c r="D8" s="50">
        <v>12000</v>
      </c>
      <c r="F8" s="50">
        <v>12000</v>
      </c>
    </row>
    <row r="9" spans="1:6" x14ac:dyDescent="0.25">
      <c r="A9" s="49" t="s">
        <v>70</v>
      </c>
      <c r="B9" s="52">
        <v>16000</v>
      </c>
      <c r="D9" s="50">
        <v>16000</v>
      </c>
      <c r="F9" s="50">
        <v>16000</v>
      </c>
    </row>
    <row r="10" spans="1:6" x14ac:dyDescent="0.25">
      <c r="A10" s="49" t="s">
        <v>69</v>
      </c>
      <c r="B10" s="52">
        <v>18000</v>
      </c>
      <c r="D10" s="50">
        <v>18000</v>
      </c>
      <c r="F10" s="50">
        <v>18000</v>
      </c>
    </row>
  </sheetData>
  <pageMargins left="0.7" right="0.7" top="0.75" bottom="0.75" header="0.3" footer="0.3"/>
  <pageSetup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4"/>
  <sheetViews>
    <sheetView zoomScale="205" zoomScaleNormal="205" workbookViewId="0">
      <selection sqref="A1:D1"/>
    </sheetView>
  </sheetViews>
  <sheetFormatPr defaultRowHeight="15" x14ac:dyDescent="0.25"/>
  <cols>
    <col min="1" max="1" width="24.7109375" style="51" bestFit="1" customWidth="1"/>
    <col min="2" max="2" width="16" style="54" customWidth="1"/>
    <col min="3" max="3" width="9.140625" style="51"/>
    <col min="4" max="4" width="14.85546875" style="47" customWidth="1"/>
    <col min="5" max="5" width="23.7109375" style="47" customWidth="1"/>
    <col min="6" max="16384" width="9.140625" style="47"/>
  </cols>
  <sheetData>
    <row r="1" spans="1:7" ht="15.75" thickBot="1" x14ac:dyDescent="0.3">
      <c r="A1" s="65" t="s">
        <v>16</v>
      </c>
      <c r="B1" s="66" t="s">
        <v>196</v>
      </c>
      <c r="C1" s="65" t="s">
        <v>46</v>
      </c>
      <c r="D1" s="67" t="s">
        <v>102</v>
      </c>
      <c r="E1" s="47" t="s">
        <v>237</v>
      </c>
    </row>
    <row r="2" spans="1:7" ht="15.75" thickTop="1" x14ac:dyDescent="0.25">
      <c r="A2" s="58" t="s">
        <v>71</v>
      </c>
      <c r="B2" s="59">
        <v>23000</v>
      </c>
      <c r="C2" s="51">
        <v>20</v>
      </c>
      <c r="D2" s="63"/>
      <c r="E2" s="55">
        <v>43934</v>
      </c>
      <c r="G2" s="56"/>
    </row>
    <row r="3" spans="1:7" x14ac:dyDescent="0.25">
      <c r="A3" s="60" t="s">
        <v>61</v>
      </c>
      <c r="B3" s="61">
        <v>18000</v>
      </c>
      <c r="C3" s="51">
        <v>21</v>
      </c>
      <c r="D3" s="63"/>
      <c r="E3" s="55">
        <v>43935</v>
      </c>
      <c r="G3" s="56"/>
    </row>
    <row r="4" spans="1:7" x14ac:dyDescent="0.25">
      <c r="A4" s="62" t="s">
        <v>62</v>
      </c>
      <c r="B4" s="57">
        <v>35000</v>
      </c>
      <c r="C4" s="51">
        <v>22</v>
      </c>
      <c r="D4" s="63"/>
      <c r="E4" s="55">
        <v>43936</v>
      </c>
    </row>
    <row r="5" spans="1:7" x14ac:dyDescent="0.25">
      <c r="A5" s="60" t="s">
        <v>68</v>
      </c>
      <c r="B5" s="61">
        <v>19000</v>
      </c>
      <c r="C5" s="51">
        <v>23</v>
      </c>
      <c r="D5" s="63"/>
      <c r="E5" s="55">
        <v>43937</v>
      </c>
    </row>
    <row r="6" spans="1:7" x14ac:dyDescent="0.25">
      <c r="A6" s="62" t="s">
        <v>63</v>
      </c>
      <c r="B6" s="57">
        <v>15000</v>
      </c>
      <c r="C6" s="51">
        <v>24</v>
      </c>
      <c r="D6" s="63"/>
      <c r="E6" s="55">
        <v>43938</v>
      </c>
    </row>
    <row r="7" spans="1:7" x14ac:dyDescent="0.25">
      <c r="A7" s="60" t="s">
        <v>65</v>
      </c>
      <c r="B7" s="61">
        <v>15000</v>
      </c>
      <c r="C7" s="51">
        <v>25</v>
      </c>
      <c r="D7" s="63"/>
      <c r="E7" s="55">
        <v>43939</v>
      </c>
    </row>
    <row r="8" spans="1:7" x14ac:dyDescent="0.25">
      <c r="A8" s="62" t="s">
        <v>66</v>
      </c>
      <c r="B8" s="57">
        <v>12000</v>
      </c>
      <c r="C8" s="51">
        <v>26</v>
      </c>
      <c r="D8" s="63"/>
    </row>
    <row r="9" spans="1:7" x14ac:dyDescent="0.25">
      <c r="A9" s="60" t="s">
        <v>70</v>
      </c>
      <c r="B9" s="61">
        <v>16000</v>
      </c>
      <c r="C9" s="51">
        <v>27</v>
      </c>
      <c r="D9" s="63"/>
    </row>
    <row r="10" spans="1:7" x14ac:dyDescent="0.25">
      <c r="A10" s="62" t="s">
        <v>69</v>
      </c>
      <c r="B10" s="57">
        <v>18000</v>
      </c>
      <c r="C10" s="51">
        <v>28</v>
      </c>
      <c r="D10" s="63"/>
    </row>
    <row r="14" spans="1:7" x14ac:dyDescent="0.25">
      <c r="A14" s="51" t="s">
        <v>16</v>
      </c>
      <c r="B14" s="54" t="s">
        <v>196</v>
      </c>
      <c r="C14" s="51" t="s">
        <v>46</v>
      </c>
      <c r="D14" s="47" t="s">
        <v>102</v>
      </c>
    </row>
    <row r="15" spans="1:7" x14ac:dyDescent="0.25">
      <c r="A15" s="51" t="s">
        <v>71</v>
      </c>
      <c r="B15" s="54">
        <v>23000</v>
      </c>
      <c r="C15" s="51">
        <v>20</v>
      </c>
      <c r="D15" s="47">
        <f>Table3[[#This Row],[WAGES]]*Table3[[#This Row],[DAYS]]</f>
        <v>460000</v>
      </c>
    </row>
    <row r="16" spans="1:7" x14ac:dyDescent="0.25">
      <c r="A16" s="51" t="s">
        <v>61</v>
      </c>
      <c r="B16" s="54">
        <v>18000</v>
      </c>
      <c r="C16" s="51">
        <v>21</v>
      </c>
      <c r="D16" s="47">
        <f>Table3[[#This Row],[WAGES]]*Table3[[#This Row],[DAYS]]</f>
        <v>378000</v>
      </c>
    </row>
    <row r="17" spans="1:4" x14ac:dyDescent="0.25">
      <c r="A17" s="51" t="s">
        <v>62</v>
      </c>
      <c r="B17" s="54">
        <v>35000</v>
      </c>
      <c r="C17" s="51">
        <v>22</v>
      </c>
      <c r="D17" s="47">
        <f>Table3[[#This Row],[WAGES]]*Table3[[#This Row],[DAYS]]</f>
        <v>770000</v>
      </c>
    </row>
    <row r="18" spans="1:4" x14ac:dyDescent="0.25">
      <c r="A18" s="51" t="s">
        <v>68</v>
      </c>
      <c r="B18" s="54">
        <v>19000</v>
      </c>
      <c r="C18" s="51">
        <v>23</v>
      </c>
      <c r="D18" s="47">
        <f>Table3[[#This Row],[WAGES]]*Table3[[#This Row],[DAYS]]</f>
        <v>437000</v>
      </c>
    </row>
    <row r="19" spans="1:4" x14ac:dyDescent="0.25">
      <c r="A19" s="51" t="s">
        <v>63</v>
      </c>
      <c r="B19" s="54">
        <v>15000</v>
      </c>
      <c r="C19" s="51">
        <v>24</v>
      </c>
      <c r="D19" s="47">
        <f>Table3[[#This Row],[WAGES]]*Table3[[#This Row],[DAYS]]</f>
        <v>360000</v>
      </c>
    </row>
    <row r="20" spans="1:4" x14ac:dyDescent="0.25">
      <c r="A20" s="51" t="s">
        <v>65</v>
      </c>
      <c r="B20" s="54">
        <v>15000</v>
      </c>
      <c r="C20" s="51">
        <v>25</v>
      </c>
      <c r="D20" s="47">
        <f>Table3[[#This Row],[WAGES]]*Table3[[#This Row],[DAYS]]</f>
        <v>375000</v>
      </c>
    </row>
    <row r="21" spans="1:4" x14ac:dyDescent="0.25">
      <c r="A21" s="51" t="s">
        <v>66</v>
      </c>
      <c r="B21" s="54">
        <v>12000</v>
      </c>
      <c r="C21" s="51">
        <v>26</v>
      </c>
      <c r="D21" s="47">
        <f>Table3[[#This Row],[WAGES]]*Table3[[#This Row],[DAYS]]</f>
        <v>312000</v>
      </c>
    </row>
    <row r="22" spans="1:4" x14ac:dyDescent="0.25">
      <c r="A22" s="51" t="s">
        <v>70</v>
      </c>
      <c r="B22" s="54">
        <v>16000</v>
      </c>
      <c r="C22" s="51">
        <v>27</v>
      </c>
      <c r="D22" s="47">
        <f>Table3[[#This Row],[WAGES]]*Table3[[#This Row],[DAYS]]</f>
        <v>432000</v>
      </c>
    </row>
    <row r="23" spans="1:4" x14ac:dyDescent="0.25">
      <c r="A23" s="51" t="s">
        <v>69</v>
      </c>
      <c r="B23" s="54">
        <v>18000</v>
      </c>
      <c r="C23" s="51">
        <v>28</v>
      </c>
      <c r="D23" s="47">
        <f>Table3[[#This Row],[WAGES]]*Table3[[#This Row],[DAYS]]</f>
        <v>504000</v>
      </c>
    </row>
    <row r="24" spans="1:4" x14ac:dyDescent="0.25">
      <c r="A24" s="51" t="s">
        <v>238</v>
      </c>
      <c r="B24" s="54">
        <v>34343</v>
      </c>
      <c r="C24" s="51">
        <v>50</v>
      </c>
      <c r="D24" s="64">
        <f>Table3[[#This Row],[WAGES]]*Table3[[#This Row],[DAYS]]</f>
        <v>1717150</v>
      </c>
    </row>
  </sheetData>
  <pageMargins left="0.7" right="0.7" top="0.75" bottom="0.75" header="0.3" footer="0.3"/>
  <pageSetup orientation="portrait" verticalDpi="0" r:id="rId1"/>
  <tableParts count="2">
    <tablePart r:id="rId2"/>
    <tablePart r:id="rId3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0"/>
  <sheetViews>
    <sheetView zoomScale="205" zoomScaleNormal="205" workbookViewId="0">
      <selection activeCell="C2" sqref="C2"/>
    </sheetView>
  </sheetViews>
  <sheetFormatPr defaultRowHeight="15" x14ac:dyDescent="0.25"/>
  <cols>
    <col min="1" max="1" width="19.140625" bestFit="1" customWidth="1"/>
    <col min="2" max="3" width="19.140625" style="22" customWidth="1"/>
    <col min="4" max="4" width="7.42578125" bestFit="1" customWidth="1"/>
    <col min="5" max="5" width="5.5703125" bestFit="1" customWidth="1"/>
    <col min="6" max="6" width="6.5703125" bestFit="1" customWidth="1"/>
    <col min="7" max="7" width="6" bestFit="1" customWidth="1"/>
  </cols>
  <sheetData>
    <row r="1" spans="1:7" x14ac:dyDescent="0.25">
      <c r="A1" t="s">
        <v>16</v>
      </c>
      <c r="B1" s="22" t="s">
        <v>239</v>
      </c>
      <c r="C1" s="22" t="s">
        <v>240</v>
      </c>
      <c r="D1" t="s">
        <v>196</v>
      </c>
      <c r="E1" t="s">
        <v>46</v>
      </c>
      <c r="F1" t="s">
        <v>102</v>
      </c>
      <c r="G1" t="s">
        <v>237</v>
      </c>
    </row>
    <row r="2" spans="1:7" x14ac:dyDescent="0.25">
      <c r="A2" t="s">
        <v>71</v>
      </c>
      <c r="D2">
        <v>23000</v>
      </c>
      <c r="E2">
        <v>20</v>
      </c>
      <c r="G2">
        <v>43934</v>
      </c>
    </row>
    <row r="3" spans="1:7" x14ac:dyDescent="0.25">
      <c r="A3" t="s">
        <v>61</v>
      </c>
      <c r="D3">
        <v>18000</v>
      </c>
      <c r="E3">
        <v>21</v>
      </c>
      <c r="G3">
        <v>43935</v>
      </c>
    </row>
    <row r="4" spans="1:7" x14ac:dyDescent="0.25">
      <c r="A4" t="s">
        <v>62</v>
      </c>
      <c r="D4">
        <v>35000</v>
      </c>
      <c r="E4">
        <v>22</v>
      </c>
      <c r="G4">
        <v>43936</v>
      </c>
    </row>
    <row r="5" spans="1:7" x14ac:dyDescent="0.25">
      <c r="A5" t="s">
        <v>68</v>
      </c>
      <c r="D5">
        <v>19000</v>
      </c>
      <c r="E5">
        <v>23</v>
      </c>
      <c r="G5">
        <v>43937</v>
      </c>
    </row>
    <row r="6" spans="1:7" x14ac:dyDescent="0.25">
      <c r="A6" t="s">
        <v>63</v>
      </c>
      <c r="D6">
        <v>15000</v>
      </c>
      <c r="E6">
        <v>24</v>
      </c>
      <c r="G6">
        <v>43938</v>
      </c>
    </row>
    <row r="7" spans="1:7" x14ac:dyDescent="0.25">
      <c r="A7" t="s">
        <v>65</v>
      </c>
      <c r="D7">
        <v>15000</v>
      </c>
      <c r="E7">
        <v>25</v>
      </c>
      <c r="G7">
        <v>43939</v>
      </c>
    </row>
    <row r="8" spans="1:7" x14ac:dyDescent="0.25">
      <c r="A8" t="s">
        <v>66</v>
      </c>
      <c r="D8">
        <v>12000</v>
      </c>
      <c r="E8">
        <v>26</v>
      </c>
    </row>
    <row r="9" spans="1:7" x14ac:dyDescent="0.25">
      <c r="A9" t="s">
        <v>70</v>
      </c>
      <c r="D9">
        <v>16000</v>
      </c>
      <c r="E9">
        <v>27</v>
      </c>
    </row>
    <row r="10" spans="1:7" x14ac:dyDescent="0.25">
      <c r="A10" t="s">
        <v>69</v>
      </c>
      <c r="D10">
        <v>18000</v>
      </c>
      <c r="E10">
        <v>28</v>
      </c>
    </row>
  </sheetData>
  <pageMargins left="0.7" right="0.7" top="0.75" bottom="0.75" header="0.3" footer="0.3"/>
  <pageSetup orientation="portrait" verticalDpi="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3"/>
  <sheetViews>
    <sheetView zoomScale="175" zoomScaleNormal="175" workbookViewId="0">
      <selection activeCell="D6" sqref="A1:XFD1048576"/>
    </sheetView>
  </sheetViews>
  <sheetFormatPr defaultRowHeight="15" x14ac:dyDescent="0.25"/>
  <cols>
    <col min="1" max="1" width="8.5703125" bestFit="1" customWidth="1"/>
    <col min="2" max="2" width="8.5703125" style="22" customWidth="1"/>
    <col min="3" max="3" width="16.85546875" style="72" customWidth="1"/>
    <col min="4" max="4" width="12" bestFit="1" customWidth="1"/>
    <col min="5" max="5" width="12" style="22" customWidth="1"/>
  </cols>
  <sheetData>
    <row r="1" spans="1:6" x14ac:dyDescent="0.25">
      <c r="A1" s="6" t="s">
        <v>75</v>
      </c>
      <c r="B1" s="6"/>
      <c r="C1" s="71" t="s">
        <v>74</v>
      </c>
      <c r="D1" s="6" t="s">
        <v>17</v>
      </c>
      <c r="E1" s="6"/>
      <c r="F1" s="6" t="s">
        <v>72</v>
      </c>
    </row>
    <row r="2" spans="1:6" x14ac:dyDescent="0.25">
      <c r="A2" s="18">
        <v>43739</v>
      </c>
      <c r="B2" s="18"/>
      <c r="C2" s="73" t="s">
        <v>71</v>
      </c>
      <c r="D2" s="19" t="s">
        <v>18</v>
      </c>
      <c r="E2" s="19"/>
      <c r="F2" s="6" t="e">
        <f>IF(#REF!&lt;20000,"YES","NO")</f>
        <v>#REF!</v>
      </c>
    </row>
    <row r="3" spans="1:6" x14ac:dyDescent="0.25">
      <c r="A3" s="18">
        <v>43749</v>
      </c>
      <c r="B3" s="18"/>
      <c r="C3" s="73" t="s">
        <v>61</v>
      </c>
      <c r="D3" s="19" t="s">
        <v>20</v>
      </c>
      <c r="E3" s="19"/>
      <c r="F3" s="6" t="e">
        <f>IF(#REF!&lt;20000,"YES","NO")</f>
        <v>#REF!</v>
      </c>
    </row>
    <row r="4" spans="1:6" x14ac:dyDescent="0.25">
      <c r="A4" s="18">
        <v>43748</v>
      </c>
      <c r="B4" s="18"/>
      <c r="C4" s="73" t="s">
        <v>62</v>
      </c>
      <c r="D4" s="19" t="s">
        <v>19</v>
      </c>
      <c r="E4" s="19"/>
      <c r="F4" s="6" t="s">
        <v>76</v>
      </c>
    </row>
    <row r="5" spans="1:6" x14ac:dyDescent="0.25">
      <c r="A5" s="18">
        <v>43743</v>
      </c>
      <c r="B5" s="18"/>
      <c r="C5" s="73" t="s">
        <v>67</v>
      </c>
      <c r="D5" s="19" t="s">
        <v>18</v>
      </c>
      <c r="E5" s="19"/>
      <c r="F5" s="6" t="e">
        <f>IF(#REF!&lt;20000,"YES","NO")</f>
        <v>#REF!</v>
      </c>
    </row>
    <row r="6" spans="1:6" x14ac:dyDescent="0.25">
      <c r="A6" s="18">
        <v>43742</v>
      </c>
      <c r="B6" s="18"/>
      <c r="C6" s="73" t="s">
        <v>68</v>
      </c>
      <c r="D6" s="19" t="s">
        <v>21</v>
      </c>
      <c r="E6" s="19"/>
      <c r="F6" s="6" t="e">
        <f>IF(#REF!&lt;20000,"YES","NO")</f>
        <v>#REF!</v>
      </c>
    </row>
    <row r="7" spans="1:6" x14ac:dyDescent="0.25">
      <c r="A7" s="18">
        <v>43747</v>
      </c>
      <c r="B7" s="18"/>
      <c r="C7" s="73" t="s">
        <v>63</v>
      </c>
      <c r="D7" s="19" t="s">
        <v>18</v>
      </c>
      <c r="E7" s="19"/>
      <c r="F7" s="6" t="e">
        <f>IF(#REF!&lt;20000,"YES","NO")</f>
        <v>#REF!</v>
      </c>
    </row>
    <row r="8" spans="1:6" x14ac:dyDescent="0.25">
      <c r="A8" s="18">
        <v>43745</v>
      </c>
      <c r="B8" s="18"/>
      <c r="C8" s="73" t="s">
        <v>65</v>
      </c>
      <c r="D8" s="19" t="s">
        <v>20</v>
      </c>
      <c r="E8" s="19"/>
      <c r="F8" s="6" t="e">
        <f>IF(#REF!&lt;20000,"YES","NO")</f>
        <v>#REF!</v>
      </c>
    </row>
    <row r="9" spans="1:6" x14ac:dyDescent="0.25">
      <c r="A9" s="18">
        <v>43744</v>
      </c>
      <c r="B9" s="18"/>
      <c r="C9" s="73" t="s">
        <v>66</v>
      </c>
      <c r="D9" s="19" t="s">
        <v>19</v>
      </c>
      <c r="E9" s="19"/>
      <c r="F9" s="6" t="s">
        <v>76</v>
      </c>
    </row>
    <row r="10" spans="1:6" x14ac:dyDescent="0.25">
      <c r="A10" s="18">
        <v>43740</v>
      </c>
      <c r="B10" s="18"/>
      <c r="C10" s="73" t="s">
        <v>70</v>
      </c>
      <c r="D10" s="19" t="s">
        <v>19</v>
      </c>
      <c r="E10" s="19"/>
      <c r="F10" s="6" t="e">
        <f>IF(#REF!&lt;20000,"YES","NO")</f>
        <v>#REF!</v>
      </c>
    </row>
    <row r="11" spans="1:6" x14ac:dyDescent="0.25">
      <c r="A11" s="18">
        <v>43741</v>
      </c>
      <c r="B11" s="18"/>
      <c r="C11" s="73" t="s">
        <v>69</v>
      </c>
      <c r="D11" s="19" t="s">
        <v>20</v>
      </c>
      <c r="E11" s="19"/>
      <c r="F11" s="6" t="e">
        <f>IF(#REF!&lt;20000,"YES","NO")</f>
        <v>#REF!</v>
      </c>
    </row>
    <row r="12" spans="1:6" x14ac:dyDescent="0.25">
      <c r="A12" s="18">
        <v>43746</v>
      </c>
      <c r="B12" s="18"/>
      <c r="C12" s="73" t="s">
        <v>64</v>
      </c>
      <c r="D12" s="19" t="s">
        <v>21</v>
      </c>
      <c r="E12" s="19"/>
      <c r="F12" s="6" t="e">
        <f>IF(#REF!&lt;20000,"YES","NO")</f>
        <v>#REF!</v>
      </c>
    </row>
    <row r="13" spans="1:6" x14ac:dyDescent="0.25">
      <c r="A13" s="18">
        <v>43750</v>
      </c>
      <c r="B13" s="18"/>
      <c r="C13" s="73" t="s">
        <v>60</v>
      </c>
      <c r="D13" s="19" t="s">
        <v>21</v>
      </c>
      <c r="E13" s="19"/>
      <c r="F13" s="6" t="e">
        <f>IF(#REF!&lt;20000,"YES","NO")</f>
        <v>#REF!</v>
      </c>
    </row>
  </sheetData>
  <sheetProtection insertColumns="0" deleteColumns="0" deleteRows="0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2"/>
  <sheetViews>
    <sheetView zoomScale="205" zoomScaleNormal="205" workbookViewId="0">
      <selection activeCell="F6" sqref="F6"/>
    </sheetView>
  </sheetViews>
  <sheetFormatPr defaultRowHeight="15" x14ac:dyDescent="0.25"/>
  <cols>
    <col min="1" max="1" width="15.5703125" bestFit="1" customWidth="1"/>
    <col min="2" max="2" width="13.140625" customWidth="1"/>
    <col min="4" max="4" width="13.28515625" bestFit="1" customWidth="1"/>
    <col min="6" max="6" width="15.5703125" bestFit="1" customWidth="1"/>
  </cols>
  <sheetData>
    <row r="1" spans="1:6" x14ac:dyDescent="0.25">
      <c r="A1" s="6" t="s">
        <v>74</v>
      </c>
      <c r="B1" s="6" t="s">
        <v>196</v>
      </c>
    </row>
    <row r="2" spans="1:6" x14ac:dyDescent="0.25">
      <c r="A2" s="19" t="s">
        <v>71</v>
      </c>
      <c r="B2" s="74">
        <v>23000</v>
      </c>
      <c r="F2" t="s">
        <v>245</v>
      </c>
    </row>
    <row r="3" spans="1:6" x14ac:dyDescent="0.25">
      <c r="A3" s="19" t="s">
        <v>242</v>
      </c>
      <c r="B3" s="6">
        <v>18000</v>
      </c>
      <c r="F3" s="22" t="s">
        <v>246</v>
      </c>
    </row>
    <row r="4" spans="1:6" x14ac:dyDescent="0.25">
      <c r="A4" s="19" t="s">
        <v>62</v>
      </c>
      <c r="B4" s="6">
        <v>35000</v>
      </c>
      <c r="F4" s="22" t="s">
        <v>247</v>
      </c>
    </row>
    <row r="5" spans="1:6" x14ac:dyDescent="0.25">
      <c r="A5" s="19" t="s">
        <v>68</v>
      </c>
      <c r="B5" s="6">
        <v>19000</v>
      </c>
      <c r="D5" t="s">
        <v>241</v>
      </c>
      <c r="F5" s="22" t="s">
        <v>248</v>
      </c>
    </row>
    <row r="6" spans="1:6" x14ac:dyDescent="0.25">
      <c r="A6" s="19" t="s">
        <v>63</v>
      </c>
      <c r="B6" s="6">
        <v>15000</v>
      </c>
    </row>
    <row r="7" spans="1:6" x14ac:dyDescent="0.25">
      <c r="A7" s="19" t="s">
        <v>65</v>
      </c>
      <c r="B7" s="74">
        <v>15000</v>
      </c>
    </row>
    <row r="8" spans="1:6" x14ac:dyDescent="0.25">
      <c r="A8" s="19" t="s">
        <v>243</v>
      </c>
      <c r="B8" s="6">
        <v>12000</v>
      </c>
    </row>
    <row r="9" spans="1:6" x14ac:dyDescent="0.25">
      <c r="A9" s="19" t="s">
        <v>70</v>
      </c>
      <c r="B9" s="6">
        <v>16000</v>
      </c>
    </row>
    <row r="10" spans="1:6" x14ac:dyDescent="0.25">
      <c r="A10" s="19" t="s">
        <v>244</v>
      </c>
      <c r="B10" s="6">
        <v>18000</v>
      </c>
    </row>
    <row r="11" spans="1:6" x14ac:dyDescent="0.25">
      <c r="A11" s="19" t="s">
        <v>62</v>
      </c>
      <c r="B11" s="6">
        <v>18000</v>
      </c>
    </row>
    <row r="12" spans="1:6" x14ac:dyDescent="0.25">
      <c r="A12" s="19" t="s">
        <v>71</v>
      </c>
    </row>
  </sheetData>
  <pageMargins left="0.7" right="0.7" top="0.75" bottom="0.75" header="0.3" footer="0.3"/>
  <pageSetup orientation="portrait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250" zoomScaleNormal="250" workbookViewId="0"/>
  </sheetViews>
  <sheetFormatPr defaultRowHeight="15" x14ac:dyDescent="0.25"/>
  <cols>
    <col min="1" max="1" width="25" bestFit="1" customWidth="1"/>
  </cols>
  <sheetData>
    <row r="1" spans="1:1" x14ac:dyDescent="0.25">
      <c r="A1" s="22" t="s">
        <v>249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250" zoomScaleNormal="250" workbookViewId="0"/>
  </sheetViews>
  <sheetFormatPr defaultRowHeight="15" x14ac:dyDescent="0.25"/>
  <cols>
    <col min="1" max="1" width="25" style="22" bestFit="1" customWidth="1"/>
    <col min="2" max="16384" width="9.140625" style="22"/>
  </cols>
  <sheetData>
    <row r="1" spans="1:1" x14ac:dyDescent="0.25">
      <c r="A1" s="22" t="s">
        <v>249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zoomScale="250" zoomScaleNormal="250" workbookViewId="0">
      <selection activeCell="C5" sqref="C5"/>
    </sheetView>
  </sheetViews>
  <sheetFormatPr defaultRowHeight="15" x14ac:dyDescent="0.25"/>
  <cols>
    <col min="1" max="1" width="25" style="22" bestFit="1" customWidth="1"/>
    <col min="2" max="16384" width="9.140625" style="22"/>
  </cols>
  <sheetData>
    <row r="1" spans="1:1" x14ac:dyDescent="0.25">
      <c r="A1" s="22" t="s">
        <v>249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33</vt:i4>
      </vt:variant>
      <vt:variant>
        <vt:lpstr>Named Ranges</vt:lpstr>
      </vt:variant>
      <vt:variant>
        <vt:i4>2</vt:i4>
      </vt:variant>
    </vt:vector>
  </HeadingPairs>
  <TitlesOfParts>
    <vt:vector size="35" baseType="lpstr">
      <vt:lpstr>PART 6</vt:lpstr>
      <vt:lpstr>PART 7</vt:lpstr>
      <vt:lpstr>PART 8</vt:lpstr>
      <vt:lpstr>PART 9</vt:lpstr>
      <vt:lpstr>PART 10</vt:lpstr>
      <vt:lpstr>PART11</vt:lpstr>
      <vt:lpstr>PART 12</vt:lpstr>
      <vt:lpstr>PART 13</vt:lpstr>
      <vt:lpstr>PART 14</vt:lpstr>
      <vt:lpstr>PART15</vt:lpstr>
      <vt:lpstr>PART15 DEMO</vt:lpstr>
      <vt:lpstr>PART 16</vt:lpstr>
      <vt:lpstr>PART -17</vt:lpstr>
      <vt:lpstr>PART-18</vt:lpstr>
      <vt:lpstr>PART -19</vt:lpstr>
      <vt:lpstr>PART-20</vt:lpstr>
      <vt:lpstr>PART 20-1</vt:lpstr>
      <vt:lpstr>PART 20-2</vt:lpstr>
      <vt:lpstr>PART 20-3</vt:lpstr>
      <vt:lpstr>PART 21 </vt:lpstr>
      <vt:lpstr>PART 22</vt:lpstr>
      <vt:lpstr>Scenario Summary</vt:lpstr>
      <vt:lpstr>PART 23</vt:lpstr>
      <vt:lpstr>PART 24</vt:lpstr>
      <vt:lpstr>PART 25</vt:lpstr>
      <vt:lpstr>PART 26</vt:lpstr>
      <vt:lpstr>PART 27</vt:lpstr>
      <vt:lpstr>PART 28</vt:lpstr>
      <vt:lpstr>PART 29</vt:lpstr>
      <vt:lpstr>PART 30</vt:lpstr>
      <vt:lpstr>PART 31</vt:lpstr>
      <vt:lpstr>PART 32</vt:lpstr>
      <vt:lpstr>PART 33</vt:lpstr>
      <vt:lpstr>'PART 16'!Criteria</vt:lpstr>
      <vt:lpstr>'PART15 DEMO'!Extract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</dc:creator>
  <cp:lastModifiedBy>RAM</cp:lastModifiedBy>
  <cp:lastPrinted>2020-04-13T06:29:19Z</cp:lastPrinted>
  <dcterms:created xsi:type="dcterms:W3CDTF">2020-04-09T11:33:05Z</dcterms:created>
  <dcterms:modified xsi:type="dcterms:W3CDTF">2020-04-19T07:19:04Z</dcterms:modified>
</cp:coreProperties>
</file>